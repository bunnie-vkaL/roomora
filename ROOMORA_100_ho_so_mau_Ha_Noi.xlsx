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ồ sơ" sheetId="1" state="visible" r:id="rId3"/>
    <sheet name="Cặp test đặc biệt" sheetId="2" state="visible" r:id="rId4"/>
    <sheet name="Chú giải" sheetId="3" state="visible" r:id="rId5"/>
  </sheets>
  <definedNames>
    <definedName function="false" hidden="true" localSheetId="1" name="_xlnm._FilterDatabase" vbProcedure="false">'Cặp test đặc biệt'!$A$1:$I$29</definedName>
    <definedName function="false" hidden="true" localSheetId="0" name="_xlnm._FilterDatabase" vbProcedure="false">'Hồ sơ'!$A$1:$AV$101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<sst xmlns="http://schemas.openxmlformats.org/spreadsheetml/2006/main" count="1890" uniqueCount="937">
  <si>
    <t xml:space="preserve">ID</t>
  </si>
  <si>
    <t xml:space="preserve">Họ và tên</t>
  </si>
  <si>
    <t xml:space="preserve">Giới tính</t>
  </si>
  <si>
    <t xml:space="preserve">Ngày sinh</t>
  </si>
  <si>
    <t xml:space="preserve">Tuổi</t>
  </si>
  <si>
    <t xml:space="preserve">Nghề nghiệp</t>
  </si>
  <si>
    <t xml:space="preserve">Trường / Nơi làm việc</t>
  </si>
  <si>
    <t xml:space="preserve">SĐT (giả lập)</t>
  </si>
  <si>
    <t xml:space="preserve">Email (giả lập)</t>
  </si>
  <si>
    <t xml:space="preserve">Địa chỉ hiện tại</t>
  </si>
  <si>
    <t xml:space="preserve">Phường</t>
  </si>
  <si>
    <t xml:space="preserve">Quận</t>
  </si>
  <si>
    <t xml:space="preserve">Mức xác thực (V1–V4)</t>
  </si>
  <si>
    <t xml:space="preserve">Xác thực email tổ chức</t>
  </si>
  <si>
    <t xml:space="preserve">H1 Cho phép ở ghép khác giới</t>
  </si>
  <si>
    <t xml:space="preserve">H2 Khung tuổi ± (năm)</t>
  </si>
  <si>
    <t xml:space="preserve">H3 Ngân sách (triệu/tháng)</t>
  </si>
  <si>
    <t xml:space="preserve">H3 Trần ngân sách chấp nhận (triệu/tháng)</t>
  </si>
  <si>
    <t xml:space="preserve">H4 Khu vực muốn tìm (quận)</t>
  </si>
  <si>
    <t xml:space="preserve">H5 Ngày có thể chuyển vào</t>
  </si>
  <si>
    <t xml:space="preserve">H6 Cam kết của mình (tháng)</t>
  </si>
  <si>
    <t xml:space="preserve">H6 Yêu cầu cam kết tối thiểu của đối phương (tháng)</t>
  </si>
  <si>
    <t xml:space="preserve">A1 Giờ ngủ – giờ dậy [CỨNG]</t>
  </si>
  <si>
    <t xml:space="preserve">A2 Làm ca đêm / giờ bất thường [CỨNG]</t>
  </si>
  <si>
    <t xml:space="preserve">A3 Làm việc tại nhà [CỨNG]</t>
  </si>
  <si>
    <t xml:space="preserve">B1 Tiêu chuẩn vệ sinh [CỨNG]</t>
  </si>
  <si>
    <t xml:space="preserve">B2 Tần suất dọn không gian chung [MỀM]</t>
  </si>
  <si>
    <t xml:space="preserve">C1 Mức riêng tư mong muốn [CỨNG]</t>
  </si>
  <si>
    <t xml:space="preserve">C2 Giao tiếp &amp; xử lý mâu thuẫn [MỀM]</t>
  </si>
  <si>
    <t xml:space="preserve">C3 Mức độ thân thiết [MỀM]</t>
  </si>
  <si>
    <t xml:space="preserve">D1 Thuốc lá / vape [CỨNG]</t>
  </si>
  <si>
    <t xml:space="preserve">D2 Dị ứng / sợ động vật [CỨNG]</t>
  </si>
  <si>
    <t xml:space="preserve">D3 Thú cưng [CỨNG]</t>
  </si>
  <si>
    <t xml:space="preserve">D4 Tiếng ồn [MỀM]</t>
  </si>
  <si>
    <t xml:space="preserve">D5 Nhiệt độ, ánh sáng, mùi khi ngủ [MỀM]</t>
  </si>
  <si>
    <t xml:space="preserve">E1 Nấu ăn &amp; ăn chung [MỀM]</t>
  </si>
  <si>
    <t xml:space="preserve">F1 Khách đến chơi &amp; qua đêm [CỨNG]</t>
  </si>
  <si>
    <t xml:space="preserve">F2 Cách chia chi phí chung [MỀM]</t>
  </si>
  <si>
    <t xml:space="preserve">S1 Đúng hẹn tiền (%)</t>
  </si>
  <si>
    <t xml:space="preserve">Số kỳ thanh toán</t>
  </si>
  <si>
    <t xml:space="preserve">S2 Phản hồi trong 24h (%)</t>
  </si>
  <si>
    <t xml:space="preserve">S3 Show-up Score (1–5)</t>
  </si>
  <si>
    <t xml:space="preserve">S4 Số review hợp lệ</t>
  </si>
  <si>
    <t xml:space="preserve">S4 Điểm review TB (1–5)</t>
  </si>
  <si>
    <t xml:space="preserve">Báo cáo đã xác minh (90 ngày)</t>
  </si>
  <si>
    <t xml:space="preserve">Nhóm mẫu</t>
  </si>
  <si>
    <t xml:space="preserve">Mã cặp test</t>
  </si>
  <si>
    <t xml:space="preserve">Ghi chú kịch bản</t>
  </si>
  <si>
    <t xml:space="preserve">RM001</t>
  </si>
  <si>
    <t xml:space="preserve">Nguyễn Hoài Vy</t>
  </si>
  <si>
    <t xml:space="preserve">Nữ</t>
  </si>
  <si>
    <t xml:space="preserve">Sinh viên năm 1</t>
  </si>
  <si>
    <t xml:space="preserve">ĐH Ngoại thương</t>
  </si>
  <si>
    <t xml:space="preserve">0900 000 001</t>
  </si>
  <si>
    <t xml:space="preserve">nguyen.hoai.vy.001@example.com</t>
  </si>
  <si>
    <t xml:space="preserve">Số 27 ngõ 253 Trịnh Văn Bô, P. Xuân Phương, Q. Nam Từ Liêm, Hà Nội</t>
  </si>
  <si>
    <t xml:space="preserve">Xuân Phương</t>
  </si>
  <si>
    <t xml:space="preserve">Nam Từ Liêm</t>
  </si>
  <si>
    <t xml:space="preserve">V3</t>
  </si>
  <si>
    <t xml:space="preserve">Có</t>
  </si>
  <si>
    <t xml:space="preserve">Không</t>
  </si>
  <si>
    <t xml:space="preserve">Nam Từ Liêm, Thanh Xuân</t>
  </si>
  <si>
    <t xml:space="preserve">Ngẫu nhiên</t>
  </si>
  <si>
    <t xml:space="preserve">RM002</t>
  </si>
  <si>
    <t xml:space="preserve">Đỗ Bảo Anh</t>
  </si>
  <si>
    <t xml:space="preserve">Nhân viên văn phòng</t>
  </si>
  <si>
    <t xml:space="preserve">Công ty CP Phần mềm Hà Thành</t>
  </si>
  <si>
    <t xml:space="preserve">0900 000 002</t>
  </si>
  <si>
    <t xml:space="preserve">do.bao.anh.002@example.com</t>
  </si>
  <si>
    <t xml:space="preserve">Số 3 ngõ 55 Nguyễn Văn Lộc, P. Mộ Lao, Q. Hà Đông, Hà Nội</t>
  </si>
  <si>
    <t xml:space="preserve">Mộ Lao</t>
  </si>
  <si>
    <t xml:space="preserve">Hà Đông</t>
  </si>
  <si>
    <t xml:space="preserve">V2</t>
  </si>
  <si>
    <t xml:space="preserve">Test đặc biệt</t>
  </si>
  <si>
    <t xml:space="preserve">P13</t>
  </si>
  <si>
    <t xml:space="preserve">P13 · Bên B: Nhóm A cực đoan – ca đêm</t>
  </si>
  <si>
    <t xml:space="preserve">RM003</t>
  </si>
  <si>
    <t xml:space="preserve">Nguyễn Minh Cường</t>
  </si>
  <si>
    <t xml:space="preserve">Nam</t>
  </si>
  <si>
    <t xml:space="preserve">Sinh viên năm 4</t>
  </si>
  <si>
    <t xml:space="preserve">0900 000 003</t>
  </si>
  <si>
    <t xml:space="preserve">nguyen.minh.cuong.003@example.com</t>
  </si>
  <si>
    <t xml:space="preserve">Số 4 ngõ 214 Mễ Trì Hạ, P. Mễ Trì, Q. Nam Từ Liêm, Hà Nội</t>
  </si>
  <si>
    <t xml:space="preserve">Mễ Trì</t>
  </si>
  <si>
    <t xml:space="preserve">V4</t>
  </si>
  <si>
    <t xml:space="preserve">Long Biên, Nam Từ Liêm</t>
  </si>
  <si>
    <t xml:space="preserve">Ngẫu nhiên – thiếu dữ liệu</t>
  </si>
  <si>
    <t xml:space="preserve">Bỏ trống: C1, C2, C3</t>
  </si>
  <si>
    <t xml:space="preserve">RM004</t>
  </si>
  <si>
    <t xml:space="preserve">Vũ Quốc Tiến</t>
  </si>
  <si>
    <t xml:space="preserve">0900 000 004</t>
  </si>
  <si>
    <t xml:space="preserve">vu.quoc.tien.004@example.com</t>
  </si>
  <si>
    <t xml:space="preserve">Số 250 Xuân Thủy, P. Dịch Vọng Hậu, Q. Cầu Giấy, Hà Nội</t>
  </si>
  <si>
    <t xml:space="preserve">Dịch Vọng Hậu</t>
  </si>
  <si>
    <t xml:space="preserve">Cầu Giấy</t>
  </si>
  <si>
    <t xml:space="preserve">P19</t>
  </si>
  <si>
    <t xml:space="preserve">P19 · Bên B: Phạt D4≥3 × A1∈{1,2}</t>
  </si>
  <si>
    <t xml:space="preserve">RM005</t>
  </si>
  <si>
    <t xml:space="preserve">Phạm Hồng Hằng</t>
  </si>
  <si>
    <t xml:space="preserve">Công ty TNHH Tư vấn Bắc Hà</t>
  </si>
  <si>
    <t xml:space="preserve">0900 000 005</t>
  </si>
  <si>
    <t xml:space="preserve">pham.hong.hang.005@example.com</t>
  </si>
  <si>
    <t xml:space="preserve">Số 310 Bằng Liệt, P. Hoàng Liệt, Q. Hoàng Mai, Hà Nội</t>
  </si>
  <si>
    <t xml:space="preserve">Hoàng Liệt</t>
  </si>
  <si>
    <t xml:space="preserve">Hoàng Mai</t>
  </si>
  <si>
    <t xml:space="preserve">P22</t>
  </si>
  <si>
    <t xml:space="preserve">P22 · Bên A: Cộng dồn ba phạt nhỏ</t>
  </si>
  <si>
    <t xml:space="preserve">RM006</t>
  </si>
  <si>
    <t xml:space="preserve">Nguyễn Thanh Hằng</t>
  </si>
  <si>
    <t xml:space="preserve">0900 000 006</t>
  </si>
  <si>
    <t xml:space="preserve">nguyen.thanh.hang.006@example.com</t>
  </si>
  <si>
    <t xml:space="preserve">Số 15 ngõ 207 Giảng Võ, P. Giảng Võ, Q. Ba Đình, Hà Nội</t>
  </si>
  <si>
    <t xml:space="preserve">Giảng Võ</t>
  </si>
  <si>
    <t xml:space="preserve">Ba Đình</t>
  </si>
  <si>
    <t xml:space="preserve">P18</t>
  </si>
  <si>
    <t xml:space="preserve">P18 · Bên B: Phạt F1=4 × C1=1</t>
  </si>
  <si>
    <t xml:space="preserve">RM007</t>
  </si>
  <si>
    <t xml:space="preserve">Trần Mai Ánh</t>
  </si>
  <si>
    <t xml:space="preserve">ĐH Công nghệ – ĐHQGHN</t>
  </si>
  <si>
    <t xml:space="preserve">0900 000 007</t>
  </si>
  <si>
    <t xml:space="preserve">tran.mai.anh.007@example.com</t>
  </si>
  <si>
    <t xml:space="preserve">Số 25 ngõ 115 Phúc La, P. Phúc La, Q. Hà Đông, Hà Nội</t>
  </si>
  <si>
    <t xml:space="preserve">Phúc La</t>
  </si>
  <si>
    <t xml:space="preserve">RM008</t>
  </si>
  <si>
    <t xml:space="preserve">Lê Thành Thịnh</t>
  </si>
  <si>
    <t xml:space="preserve">0900 000 008</t>
  </si>
  <si>
    <t xml:space="preserve">le.thanh.thinh.008@example.com</t>
  </si>
  <si>
    <t xml:space="preserve">Số 2 ngõ 222 Trương Định, P. Bạch Mai, Q. Hai Bà Trưng, Hà Nội</t>
  </si>
  <si>
    <t xml:space="preserve">Bạch Mai</t>
  </si>
  <si>
    <t xml:space="preserve">Hai Bà Trưng</t>
  </si>
  <si>
    <t xml:space="preserve">P11</t>
  </si>
  <si>
    <t xml:space="preserve">P11 · Bên B: Ngày chuyển vào chênh đúng 21 ngày</t>
  </si>
  <si>
    <t xml:space="preserve">RM009</t>
  </si>
  <si>
    <t xml:space="preserve">Nguyễn Hồng Yến</t>
  </si>
  <si>
    <t xml:space="preserve">0900 000 009</t>
  </si>
  <si>
    <t xml:space="preserve">nguyen.hong.yen.009@example.com</t>
  </si>
  <si>
    <t xml:space="preserve">Số 225 Thái Thịnh, P. Thịnh Quang, Q. Đống Đa, Hà Nội</t>
  </si>
  <si>
    <t xml:space="preserve">Thịnh Quang</t>
  </si>
  <si>
    <t xml:space="preserve">Đống Đa</t>
  </si>
  <si>
    <t xml:space="preserve">P05</t>
  </si>
  <si>
    <t xml:space="preserve">P05 · Bên B: Khác giới hợp lệ</t>
  </si>
  <si>
    <t xml:space="preserve">RM010</t>
  </si>
  <si>
    <t xml:space="preserve">Dương Gia Huy</t>
  </si>
  <si>
    <t xml:space="preserve">Điều dưỡng (làm ca kíp)</t>
  </si>
  <si>
    <t xml:space="preserve">Bệnh viện đa khoa tư nhân An Phúc</t>
  </si>
  <si>
    <t xml:space="preserve">0900 000 010</t>
  </si>
  <si>
    <t xml:space="preserve">duong.gia.huy.010@example.com</t>
  </si>
  <si>
    <t xml:space="preserve">Số 220 Nguyễn Tuân, P. Thanh Xuân Trung, Q. Thanh Xuân, Hà Nội</t>
  </si>
  <si>
    <t xml:space="preserve">Thanh Xuân Trung</t>
  </si>
  <si>
    <t xml:space="preserve">Thanh Xuân</t>
  </si>
  <si>
    <t xml:space="preserve">RM011</t>
  </si>
  <si>
    <t xml:space="preserve">Đỗ Khánh Hương</t>
  </si>
  <si>
    <t xml:space="preserve">0900 000 011</t>
  </si>
  <si>
    <t xml:space="preserve">do.khanh.huong.011@example.com</t>
  </si>
  <si>
    <t xml:space="preserve">Số 59 Xuân Thủy, P. Dịch Vọng Hậu, Q. Cầu Giấy, Hà Nội</t>
  </si>
  <si>
    <t xml:space="preserve">P01</t>
  </si>
  <si>
    <t xml:space="preserve">P01 · Bên A: Cặp lý tưởng, bonus vượt trần</t>
  </si>
  <si>
    <t xml:space="preserve">RM012</t>
  </si>
  <si>
    <t xml:space="preserve">Phạm Công Huy</t>
  </si>
  <si>
    <t xml:space="preserve">Giáo viên</t>
  </si>
  <si>
    <t xml:space="preserve">Trung tâm Anh ngữ Sunrise Hà Nội</t>
  </si>
  <si>
    <t xml:space="preserve">0900 000 012</t>
  </si>
  <si>
    <t xml:space="preserve">pham.cong.huy.012@example.com</t>
  </si>
  <si>
    <t xml:space="preserve">Số 3 ngõ 67 Hào Nam, P. Ô Chợ Dừa, Q. Đống Đa, Hà Nội</t>
  </si>
  <si>
    <t xml:space="preserve">Ô Chợ Dừa</t>
  </si>
  <si>
    <t xml:space="preserve">RM013</t>
  </si>
  <si>
    <t xml:space="preserve">Đỗ Minh Bách</t>
  </si>
  <si>
    <t xml:space="preserve">0900 000 013</t>
  </si>
  <si>
    <t xml:space="preserve">do.minh.bach.013@example.com</t>
  </si>
  <si>
    <t xml:space="preserve">Số 4 ngõ 11 Bằng Liệt, P. Hoàng Liệt, Q. Hoàng Mai, Hà Nội</t>
  </si>
  <si>
    <t xml:space="preserve">P11 · Bên A: Ngày chuyển vào chênh đúng 21 ngày</t>
  </si>
  <si>
    <t xml:space="preserve">RM014</t>
  </si>
  <si>
    <t xml:space="preserve">Nguyễn Việt Tiến</t>
  </si>
  <si>
    <t xml:space="preserve">0900 000 014</t>
  </si>
  <si>
    <t xml:space="preserve">nguyen.viet.tien.014@example.com</t>
  </si>
  <si>
    <t xml:space="preserve">Số 11 ngõ 50 Mễ Trì Hạ, P. Mễ Trì, Q. Nam Từ Liêm, Hà Nội</t>
  </si>
  <si>
    <t xml:space="preserve">P16</t>
  </si>
  <si>
    <t xml:space="preserve">P16 · Bên A: Dị ứng nhẹ × thú lớn</t>
  </si>
  <si>
    <t xml:space="preserve">RM015</t>
  </si>
  <si>
    <t xml:space="preserve">Đặng Quang Vinh</t>
  </si>
  <si>
    <t xml:space="preserve">Sinh viên năm 3</t>
  </si>
  <si>
    <t xml:space="preserve">ĐH Luật Hà Nội</t>
  </si>
  <si>
    <t xml:space="preserve">0900 000 015</t>
  </si>
  <si>
    <t xml:space="preserve">dang.quang.vinh.015@example.com</t>
  </si>
  <si>
    <t xml:space="preserve">Số 38 Lê Đức Thọ, P. Mỹ Đình 1, Q. Nam Từ Liêm, Hà Nội</t>
  </si>
  <si>
    <t xml:space="preserve">Mỹ Đình 1</t>
  </si>
  <si>
    <t xml:space="preserve">Hai Bà Trưng, Nam Từ Liêm</t>
  </si>
  <si>
    <t xml:space="preserve">RM016</t>
  </si>
  <si>
    <t xml:space="preserve">Mai Minh Quân</t>
  </si>
  <si>
    <t xml:space="preserve">0900 000 016</t>
  </si>
  <si>
    <t xml:space="preserve">mai.minh.quan.016@example.com</t>
  </si>
  <si>
    <t xml:space="preserve">Số 77 Kim Đồng, P. Định Công, Q. Hoàng Mai, Hà Nội</t>
  </si>
  <si>
    <t xml:space="preserve">Định Công</t>
  </si>
  <si>
    <t xml:space="preserve">P24</t>
  </si>
  <si>
    <t xml:space="preserve">P24 · Bên A: Phạt chạm sàn −0,35</t>
  </si>
  <si>
    <t xml:space="preserve">RM017</t>
  </si>
  <si>
    <t xml:space="preserve">Hồ Thanh Ánh</t>
  </si>
  <si>
    <t xml:space="preserve">Kế toán</t>
  </si>
  <si>
    <t xml:space="preserve">Công ty CP Xây dựng &amp; Đầu tư Hồng Hà</t>
  </si>
  <si>
    <t xml:space="preserve">0900 000 017</t>
  </si>
  <si>
    <t xml:space="preserve">ho.thanh.anh.017@example.com</t>
  </si>
  <si>
    <t xml:space="preserve">Số 15 ngõ 100 Kim Mã, P. Kim Mã, Q. Ba Đình, Hà Nội</t>
  </si>
  <si>
    <t xml:space="preserve">Kim Mã</t>
  </si>
  <si>
    <t xml:space="preserve">Ba Đình, Hoàng Mai</t>
  </si>
  <si>
    <t xml:space="preserve">RM018</t>
  </si>
  <si>
    <t xml:space="preserve">Nguyễn Thị Vy</t>
  </si>
  <si>
    <t xml:space="preserve">Kỹ sư xây dựng</t>
  </si>
  <si>
    <t xml:space="preserve">0900 000 018</t>
  </si>
  <si>
    <t xml:space="preserve">nguyen.thi.vy.018@example.com</t>
  </si>
  <si>
    <t xml:space="preserve">Số 18 ngõ 180 Nguyễn Xiển, P. Hạ Đình, Q. Thanh Xuân, Hà Nội</t>
  </si>
  <si>
    <t xml:space="preserve">Hạ Đình</t>
  </si>
  <si>
    <t xml:space="preserve">V1</t>
  </si>
  <si>
    <t xml:space="preserve">Thanh Xuân, Tây Hồ</t>
  </si>
  <si>
    <t xml:space="preserve">RM019</t>
  </si>
  <si>
    <t xml:space="preserve">Lê Thành Đạt</t>
  </si>
  <si>
    <t xml:space="preserve">0900 000 019</t>
  </si>
  <si>
    <t xml:space="preserve">le.thanh.dat.019@example.com</t>
  </si>
  <si>
    <t xml:space="preserve">Số 5 ngõ 245 Hoàng Minh Giám, P. Yên Hòa, Q. Cầu Giấy, Hà Nội</t>
  </si>
  <si>
    <t xml:space="preserve">Yên Hòa</t>
  </si>
  <si>
    <t xml:space="preserve">P17</t>
  </si>
  <si>
    <t xml:space="preserve">P17 · Bên A: Dị ứng nhẹ × thú nhỏ</t>
  </si>
  <si>
    <t xml:space="preserve">RM020</t>
  </si>
  <si>
    <t xml:space="preserve">Đặng Hồng Uyên</t>
  </si>
  <si>
    <t xml:space="preserve">ĐH Khoa học Xã hội và Nhân văn – ĐHQGHN</t>
  </si>
  <si>
    <t xml:space="preserve">0900 000 020</t>
  </si>
  <si>
    <t xml:space="preserve">dang.hong.uyen.020@example.com</t>
  </si>
  <si>
    <t xml:space="preserve">Số 6 ngõ 20 Minh Khai, P. Đồng Tâm, Q. Hai Bà Trưng, Hà Nội</t>
  </si>
  <si>
    <t xml:space="preserve">Đồng Tâm</t>
  </si>
  <si>
    <t xml:space="preserve">RM021</t>
  </si>
  <si>
    <t xml:space="preserve">Nguyễn Công Dũng</t>
  </si>
  <si>
    <t xml:space="preserve">Sinh viên năm 2</t>
  </si>
  <si>
    <t xml:space="preserve">ĐH Kinh tế Quốc dân</t>
  </si>
  <si>
    <t xml:space="preserve">0900 000 021</t>
  </si>
  <si>
    <t xml:space="preserve">nguyen.cong.dung.021@example.com</t>
  </si>
  <si>
    <t xml:space="preserve">Số 4 ngõ 238 Nguyễn Ngọc Nại, P. Khương Trung, Q. Thanh Xuân, Hà Nội</t>
  </si>
  <si>
    <t xml:space="preserve">Khương Trung</t>
  </si>
  <si>
    <t xml:space="preserve">P06</t>
  </si>
  <si>
    <t xml:space="preserve">P06 · Bên A: Lệch tuổi vượt khung</t>
  </si>
  <si>
    <t xml:space="preserve">RM022</t>
  </si>
  <si>
    <t xml:space="preserve">Đinh Gia Bảo</t>
  </si>
  <si>
    <t xml:space="preserve">0900 000 022</t>
  </si>
  <si>
    <t xml:space="preserve">dinh.gia.bao.022@example.com</t>
  </si>
  <si>
    <t xml:space="preserve">Số 3 ngõ 53 Định Công, P. Định Công, Q. Hoàng Mai, Hà Nội</t>
  </si>
  <si>
    <t xml:space="preserve">P26</t>
  </si>
  <si>
    <t xml:space="preserve">P26 · Bên B: Hút thuốc trong phòng × không hút</t>
  </si>
  <si>
    <t xml:space="preserve">RM023</t>
  </si>
  <si>
    <t xml:space="preserve">Lương Việt Lâm</t>
  </si>
  <si>
    <t xml:space="preserve">Thiết kế đồ họa (freelance)</t>
  </si>
  <si>
    <t xml:space="preserve">Freelance</t>
  </si>
  <si>
    <t xml:space="preserve">0900 000 023</t>
  </si>
  <si>
    <t xml:space="preserve">luong.viet.lam.023@example.com</t>
  </si>
  <si>
    <t xml:space="preserve">Số 27 ngõ 93 Nguyễn Chí Thanh, P. Liễu Giai, Q. Ba Đình, Hà Nội</t>
  </si>
  <si>
    <t xml:space="preserve">Liễu Giai</t>
  </si>
  <si>
    <t xml:space="preserve">Ba Đình, Nam Từ Liêm</t>
  </si>
  <si>
    <t xml:space="preserve">Bỏ trống: B2, C3, D1, F1</t>
  </si>
  <si>
    <t xml:space="preserve">RM024</t>
  </si>
  <si>
    <t xml:space="preserve">Hoàng Ngọc Trang</t>
  </si>
  <si>
    <t xml:space="preserve">Học viện Báo chí và Tuyên truyền</t>
  </si>
  <si>
    <t xml:space="preserve">0900 000 024</t>
  </si>
  <si>
    <t xml:space="preserve">hoang.ngoc.trang.024@example.com</t>
  </si>
  <si>
    <t xml:space="preserve">Số 5 ngõ 154 Việt Hưng, P. Việt Hưng, Q. Long Biên, Hà Nội</t>
  </si>
  <si>
    <t xml:space="preserve">Việt Hưng</t>
  </si>
  <si>
    <t xml:space="preserve">Long Biên</t>
  </si>
  <si>
    <t xml:space="preserve">Hai Bà Trưng, Long Biên</t>
  </si>
  <si>
    <t xml:space="preserve">RM025</t>
  </si>
  <si>
    <t xml:space="preserve">Vũ Gia Tùng</t>
  </si>
  <si>
    <t xml:space="preserve">ĐH Xây dựng Hà Nội</t>
  </si>
  <si>
    <t xml:space="preserve">0900 000 025</t>
  </si>
  <si>
    <t xml:space="preserve">vu.gia.tung.025@example.com</t>
  </si>
  <si>
    <t xml:space="preserve">Số 98 Đức Thắng, P. Đức Thắng, Q. Bắc Từ Liêm, Hà Nội</t>
  </si>
  <si>
    <t xml:space="preserve">Đức Thắng</t>
  </si>
  <si>
    <t xml:space="preserve">Bắc Từ Liêm</t>
  </si>
  <si>
    <t xml:space="preserve">RM026</t>
  </si>
  <si>
    <t xml:space="preserve">Đặng Ngọc Phương</t>
  </si>
  <si>
    <t xml:space="preserve">0900 000 026</t>
  </si>
  <si>
    <t xml:space="preserve">dang.ngoc.phuong.026@example.com</t>
  </si>
  <si>
    <t xml:space="preserve">Số 5 ngõ 83 Thanh Nhàn, P. Thanh Nhàn, Q. Hai Bà Trưng, Hà Nội</t>
  </si>
  <si>
    <t xml:space="preserve">Thanh Nhàn</t>
  </si>
  <si>
    <t xml:space="preserve">P20</t>
  </si>
  <si>
    <t xml:space="preserve">P20 · Bên B: Phạt A3≥3 × D4≥3</t>
  </si>
  <si>
    <t xml:space="preserve">RM027</t>
  </si>
  <si>
    <t xml:space="preserve">Kiều Quang Tiến</t>
  </si>
  <si>
    <t xml:space="preserve">0900 000 027</t>
  </si>
  <si>
    <t xml:space="preserve">kieu.quang.tien.027@example.com</t>
  </si>
  <si>
    <t xml:space="preserve">Số 28 ngõ 203 Hồ Tùng Mậu, P. Cầu Diễn, Q. Nam Từ Liêm, Hà Nội</t>
  </si>
  <si>
    <t xml:space="preserve">Cầu Diễn</t>
  </si>
  <si>
    <t xml:space="preserve">P25</t>
  </si>
  <si>
    <t xml:space="preserve">P25 · Bên A: Bỏ trống câu hỏi</t>
  </si>
  <si>
    <t xml:space="preserve">RM028</t>
  </si>
  <si>
    <t xml:space="preserve">Cao Kim Yến</t>
  </si>
  <si>
    <t xml:space="preserve">Chuyên viên Marketing</t>
  </si>
  <si>
    <t xml:space="preserve">Agency Truyền thông Sao Bắc</t>
  </si>
  <si>
    <t xml:space="preserve">0900 000 028</t>
  </si>
  <si>
    <t xml:space="preserve">cao.kim.yen.028@example.com</t>
  </si>
  <si>
    <t xml:space="preserve">Số 7 ngõ 53 Lê Văn Lương, P. Nhân Chính, Q. Thanh Xuân, Hà Nội</t>
  </si>
  <si>
    <t xml:space="preserve">Nhân Chính</t>
  </si>
  <si>
    <t xml:space="preserve">Hai Bà Trưng, Thanh Xuân</t>
  </si>
  <si>
    <t xml:space="preserve">RM029</t>
  </si>
  <si>
    <t xml:space="preserve">Cao Xuân Dương</t>
  </si>
  <si>
    <t xml:space="preserve">0900 000 029</t>
  </si>
  <si>
    <t xml:space="preserve">cao.xuan.duong.029@example.com</t>
  </si>
  <si>
    <t xml:space="preserve">Số 11 ngõ 162 Nguyễn Chí Thanh, P. Liễu Giai, Q. Ba Đình, Hà Nội</t>
  </si>
  <si>
    <t xml:space="preserve">P24 · Bên B: Phạt chạm sàn −0,35</t>
  </si>
  <si>
    <t xml:space="preserve">RM030</t>
  </si>
  <si>
    <t xml:space="preserve">Lương Ngọc Nhung</t>
  </si>
  <si>
    <t xml:space="preserve">0900 000 030</t>
  </si>
  <si>
    <t xml:space="preserve">luong.ngoc.nhung.030@example.com</t>
  </si>
  <si>
    <t xml:space="preserve">Số 29 ngõ 136 Vĩnh Tuy, P. Vĩnh Tuy, Q. Hai Bà Trưng, Hà Nội</t>
  </si>
  <si>
    <t xml:space="preserve">Vĩnh Tuy</t>
  </si>
  <si>
    <t xml:space="preserve">P10</t>
  </si>
  <si>
    <t xml:space="preserve">P10 · Bên B: Ngày chuyển vào chênh 22 ngày</t>
  </si>
  <si>
    <t xml:space="preserve">RM031</t>
  </si>
  <si>
    <t xml:space="preserve">Nguyễn Phương Anh</t>
  </si>
  <si>
    <t xml:space="preserve">0900 000 031</t>
  </si>
  <si>
    <t xml:space="preserve">nguyen.phuong.anh.031@example.com</t>
  </si>
  <si>
    <t xml:space="preserve">Số 15 ngõ 188 Nguyễn Văn Lộc, P. Mộ Lao, Q. Hà Đông, Hà Nội</t>
  </si>
  <si>
    <t xml:space="preserve">P23</t>
  </si>
  <si>
    <t xml:space="preserve">P23 · Bên B: Có ≥2 báo cáo đã xác minh</t>
  </si>
  <si>
    <t xml:space="preserve">RM032</t>
  </si>
  <si>
    <t xml:space="preserve">Nguyễn Thành Tài</t>
  </si>
  <si>
    <t xml:space="preserve">Biên – phiên dịch (freelance)</t>
  </si>
  <si>
    <t xml:space="preserve">0900 000 032</t>
  </si>
  <si>
    <t xml:space="preserve">nguyen.thanh.tai.032@example.com</t>
  </si>
  <si>
    <t xml:space="preserve">Số 8 ngõ 101 Bạch Mai, P. Bạch Mai, Q. Hai Bà Trưng, Hà Nội</t>
  </si>
  <si>
    <t xml:space="preserve">RM033</t>
  </si>
  <si>
    <t xml:space="preserve">Đặng Thu Châu</t>
  </si>
  <si>
    <t xml:space="preserve">0900 000 033</t>
  </si>
  <si>
    <t xml:space="preserve">dang.thu.chau.033@example.com</t>
  </si>
  <si>
    <t xml:space="preserve">Số 30 ngõ 159 Định Công, P. Định Công, Q. Hoàng Mai, Hà Nội</t>
  </si>
  <si>
    <t xml:space="preserve">Hai Bà Trưng, Hoàng Mai</t>
  </si>
  <si>
    <t xml:space="preserve">RM034</t>
  </si>
  <si>
    <t xml:space="preserve">Nguyễn Thanh Giang</t>
  </si>
  <si>
    <t xml:space="preserve">0900 000 034</t>
  </si>
  <si>
    <t xml:space="preserve">nguyen.thanh.giang.034@example.com</t>
  </si>
  <si>
    <t xml:space="preserve">Số 2 ngõ 86 Núi Trúc, P. Kim Mã, Q. Ba Đình, Hà Nội</t>
  </si>
  <si>
    <t xml:space="preserve">P21</t>
  </si>
  <si>
    <t xml:space="preserve">P21 · Bên A: Phạt A2=3 × A1=1</t>
  </si>
  <si>
    <t xml:space="preserve">RM035</t>
  </si>
  <si>
    <t xml:space="preserve">Hoàng Gia Vinh</t>
  </si>
  <si>
    <t xml:space="preserve">Nhân viên bán hàng (ca kíp)</t>
  </si>
  <si>
    <t xml:space="preserve">Chuỗi điện máy Việt Tín</t>
  </si>
  <si>
    <t xml:space="preserve">0900 000 035</t>
  </si>
  <si>
    <t xml:space="preserve">hoang.gia.vinh.035@example.com</t>
  </si>
  <si>
    <t xml:space="preserve">Số 1 ngõ 118 Trung Kính, P. Yên Hòa, Q. Cầu Giấy, Hà Nội</t>
  </si>
  <si>
    <t xml:space="preserve">Bỏ trống: A3, E1</t>
  </si>
  <si>
    <t xml:space="preserve">RM036</t>
  </si>
  <si>
    <t xml:space="preserve">Võ Quỳnh Vy</t>
  </si>
  <si>
    <t xml:space="preserve">0900 000 036</t>
  </si>
  <si>
    <t xml:space="preserve">vo.quynh.vy.036@example.com</t>
  </si>
  <si>
    <t xml:space="preserve">Số 15 ngõ 132 Nguyễn Chí Thanh, P. Liễu Giai, Q. Ba Đình, Hà Nội</t>
  </si>
  <si>
    <t xml:space="preserve">RM037</t>
  </si>
  <si>
    <t xml:space="preserve">Phạm Quang Dương</t>
  </si>
  <si>
    <t xml:space="preserve">0900 000 037</t>
  </si>
  <si>
    <t xml:space="preserve">pham.quang.duong.037@example.com</t>
  </si>
  <si>
    <t xml:space="preserve">Số 103 Giải Phóng, P. Phương Liệt, Q. Thanh Xuân, Hà Nội</t>
  </si>
  <si>
    <t xml:space="preserve">Phương Liệt</t>
  </si>
  <si>
    <t xml:space="preserve">P17 · Bên B: Dị ứng nhẹ × thú nhỏ</t>
  </si>
  <si>
    <t xml:space="preserve">RM038</t>
  </si>
  <si>
    <t xml:space="preserve">Nguyễn Phương Ngọc</t>
  </si>
  <si>
    <t xml:space="preserve">0900 000 038</t>
  </si>
  <si>
    <t xml:space="preserve">nguyen.phuong.ngoc.038@example.com</t>
  </si>
  <si>
    <t xml:space="preserve">Số 20 ngõ 98 Cầu Giấy, P. Dịch Vọng, Q. Cầu Giấy, Hà Nội</t>
  </si>
  <si>
    <t xml:space="preserve">Dịch Vọng</t>
  </si>
  <si>
    <t xml:space="preserve">P03</t>
  </si>
  <si>
    <t xml:space="preserve">P03 · Bên B: Khác giới – chỉ một bên bật H1</t>
  </si>
  <si>
    <t xml:space="preserve">RM039</t>
  </si>
  <si>
    <t xml:space="preserve">Bùi Kim Trâm</t>
  </si>
  <si>
    <t xml:space="preserve">0900 000 039</t>
  </si>
  <si>
    <t xml:space="preserve">bui.kim.tram.039@example.com</t>
  </si>
  <si>
    <t xml:space="preserve">Số 86 Dương Nội, P. Dương Nội, Q. Hà Đông, Hà Nội</t>
  </si>
  <si>
    <t xml:space="preserve">Dương Nội</t>
  </si>
  <si>
    <t xml:space="preserve">RM040</t>
  </si>
  <si>
    <t xml:space="preserve">Vũ Việt Dũng</t>
  </si>
  <si>
    <t xml:space="preserve">0900 000 040</t>
  </si>
  <si>
    <t xml:space="preserve">vu.viet.dung.040@example.com</t>
  </si>
  <si>
    <t xml:space="preserve">Số 138 Nguyễn Văn Lộc, P. Mộ Lao, Q. Hà Đông, Hà Nội</t>
  </si>
  <si>
    <t xml:space="preserve">P09</t>
  </si>
  <si>
    <t xml:space="preserve">P09 · Bên B: Khu vực không giao nhau</t>
  </si>
  <si>
    <t xml:space="preserve">RM041</t>
  </si>
  <si>
    <t xml:space="preserve">Trần Mai Trang</t>
  </si>
  <si>
    <t xml:space="preserve">0900 000 041</t>
  </si>
  <si>
    <t xml:space="preserve">tran.mai.trang.041@example.com</t>
  </si>
  <si>
    <t xml:space="preserve">Số 4 ngõ 169 Giải Phóng, P. Phương Liệt, Q. Thanh Xuân, Hà Nội</t>
  </si>
  <si>
    <t xml:space="preserve">RM042</t>
  </si>
  <si>
    <t xml:space="preserve">Vũ Công Nghĩa</t>
  </si>
  <si>
    <t xml:space="preserve">0900 000 042</t>
  </si>
  <si>
    <t xml:space="preserve">vu.cong.nghia.042@example.com</t>
  </si>
  <si>
    <t xml:space="preserve">Số 105 Lê Đức Thọ, P. Mỹ Đình 1, Q. Nam Từ Liêm, Hà Nội</t>
  </si>
  <si>
    <t xml:space="preserve">RM043</t>
  </si>
  <si>
    <t xml:space="preserve">Nguyễn Minh Bách</t>
  </si>
  <si>
    <t xml:space="preserve">0900 000 043</t>
  </si>
  <si>
    <t xml:space="preserve">nguyen.minh.bach.043@example.com</t>
  </si>
  <si>
    <t xml:space="preserve">Số 27 ngõ 43 Cổ Nhuế, P. Cổ Nhuế 1, Q. Bắc Từ Liêm, Hà Nội</t>
  </si>
  <si>
    <t xml:space="preserve">Cổ Nhuế 1</t>
  </si>
  <si>
    <t xml:space="preserve">P02</t>
  </si>
  <si>
    <t xml:space="preserve">P02 · Bên A: Khác giới – cả hai tắt H1</t>
  </si>
  <si>
    <t xml:space="preserve">RM044</t>
  </si>
  <si>
    <t xml:space="preserve">Trần Kim Thảo</t>
  </si>
  <si>
    <t xml:space="preserve">0900 000 044</t>
  </si>
  <si>
    <t xml:space="preserve">tran.kim.thao.044@example.com</t>
  </si>
  <si>
    <t xml:space="preserve">Số 5 ngõ 23 Xuân Thủy, P. Dịch Vọng Hậu, Q. Cầu Giấy, Hà Nội</t>
  </si>
  <si>
    <t xml:space="preserve">Cầu Giấy, Nam Từ Liêm</t>
  </si>
  <si>
    <t xml:space="preserve">RM045</t>
  </si>
  <si>
    <t xml:space="preserve">Trần Thanh Nga</t>
  </si>
  <si>
    <t xml:space="preserve">0900 000 045</t>
  </si>
  <si>
    <t xml:space="preserve">tran.thanh.nga.045@example.com</t>
  </si>
  <si>
    <t xml:space="preserve">Số 267 Xuân Đỉnh, P. Xuân Đỉnh, Q. Bắc Từ Liêm, Hà Nội</t>
  </si>
  <si>
    <t xml:space="preserve">Xuân Đỉnh</t>
  </si>
  <si>
    <t xml:space="preserve">P22 · Bên B: Cộng dồn ba phạt nhỏ</t>
  </si>
  <si>
    <t xml:space="preserve">RM046</t>
  </si>
  <si>
    <t xml:space="preserve">Ngô Phương Ly</t>
  </si>
  <si>
    <t xml:space="preserve">0900 000 046</t>
  </si>
  <si>
    <t xml:space="preserve">ngo.phuong.ly.046@example.com</t>
  </si>
  <si>
    <t xml:space="preserve">Số 5 ngõ 233 Giải Phóng, P. Phương Liệt, Q. Thanh Xuân, Hà Nội</t>
  </si>
  <si>
    <t xml:space="preserve">Hà Đông, Thanh Xuân</t>
  </si>
  <si>
    <t xml:space="preserve">RM047</t>
  </si>
  <si>
    <t xml:space="preserve">Dương Minh Huy</t>
  </si>
  <si>
    <t xml:space="preserve">0900 000 047</t>
  </si>
  <si>
    <t xml:space="preserve">duong.minh.huy.047@example.com</t>
  </si>
  <si>
    <t xml:space="preserve">Số 14 ngõ 70 Kim Đồng, P. Định Công, Q. Hoàng Mai, Hà Nội</t>
  </si>
  <si>
    <t xml:space="preserve">Hoàng Mai, Nam Từ Liêm</t>
  </si>
  <si>
    <t xml:space="preserve">RM048</t>
  </si>
  <si>
    <t xml:space="preserve">Nguyễn Hữu Long</t>
  </si>
  <si>
    <t xml:space="preserve">0900 000 048</t>
  </si>
  <si>
    <t xml:space="preserve">nguyen.huu.long.048@example.com</t>
  </si>
  <si>
    <t xml:space="preserve">Số 5 ngõ 14 Hồ Tùng Mậu, P. Cầu Diễn, Q. Nam Từ Liêm, Hà Nội</t>
  </si>
  <si>
    <t xml:space="preserve">P27</t>
  </si>
  <si>
    <t xml:space="preserve">P27 · Bên B: Giờ ngủ lệch 2 bậc (cần chốt)</t>
  </si>
  <si>
    <t xml:space="preserve">RM049</t>
  </si>
  <si>
    <t xml:space="preserve">Võ Đức Tiến</t>
  </si>
  <si>
    <t xml:space="preserve">0900 000 049</t>
  </si>
  <si>
    <t xml:space="preserve">vo.duc.tien.049@example.com</t>
  </si>
  <si>
    <t xml:space="preserve">Số 6 ngõ 157 Duy Tân, P. Dịch Vọng, Q. Cầu Giấy, Hà Nội</t>
  </si>
  <si>
    <t xml:space="preserve">P09 · Bên A: Khu vực không giao nhau</t>
  </si>
  <si>
    <t xml:space="preserve">RM050</t>
  </si>
  <si>
    <t xml:space="preserve">Nguyễn Hồng Hà</t>
  </si>
  <si>
    <t xml:space="preserve">0900 000 050</t>
  </si>
  <si>
    <t xml:space="preserve">nguyen.hong.ha.050@example.com</t>
  </si>
  <si>
    <t xml:space="preserve">Số 53 Nguyễn Tuân, P. Thanh Xuân Trung, Q. Thanh Xuân, Hà Nội</t>
  </si>
  <si>
    <t xml:space="preserve">P07</t>
  </si>
  <si>
    <t xml:space="preserve">P07 · Bên A: Lệch tuổi đúng biên</t>
  </si>
  <si>
    <t xml:space="preserve">RM051</t>
  </si>
  <si>
    <t xml:space="preserve">Phan Bảo Lan</t>
  </si>
  <si>
    <t xml:space="preserve">0900 000 051</t>
  </si>
  <si>
    <t xml:space="preserve">phan.bao.lan.051@example.com</t>
  </si>
  <si>
    <t xml:space="preserve">Số 24 ngõ 207 Định Công, P. Định Công, Q. Hoàng Mai, Hà Nội</t>
  </si>
  <si>
    <t xml:space="preserve">P08</t>
  </si>
  <si>
    <t xml:space="preserve">P08 · Bên A: Ngân sách vượt trần đối phương</t>
  </si>
  <si>
    <t xml:space="preserve">RM052</t>
  </si>
  <si>
    <t xml:space="preserve">Nguyễn Minh Huyền</t>
  </si>
  <si>
    <t xml:space="preserve">0900 000 052</t>
  </si>
  <si>
    <t xml:space="preserve">nguyen.minh.huyen.052@example.com</t>
  </si>
  <si>
    <t xml:space="preserve">Số 16 ngõ 188 Nguyễn Văn Huyên, P. Nghĩa Tân, Q. Cầu Giấy, Hà Nội</t>
  </si>
  <si>
    <t xml:space="preserve">Nghĩa Tân</t>
  </si>
  <si>
    <t xml:space="preserve">P18 · Bên A: Phạt F1=4 × C1=1</t>
  </si>
  <si>
    <t xml:space="preserve">RM053</t>
  </si>
  <si>
    <t xml:space="preserve">Ngô Tuấn Hưng</t>
  </si>
  <si>
    <t xml:space="preserve">ĐH Thương mại</t>
  </si>
  <si>
    <t xml:space="preserve">0900 000 053</t>
  </si>
  <si>
    <t xml:space="preserve">ngo.tuan.hung.053@example.com</t>
  </si>
  <si>
    <t xml:space="preserve">Số 2 ngõ 92 Tố Hữu, P. Dương Nội, Q. Hà Đông, Hà Nội</t>
  </si>
  <si>
    <t xml:space="preserve">Cầu Giấy, Hà Đông</t>
  </si>
  <si>
    <t xml:space="preserve">RM054</t>
  </si>
  <si>
    <t xml:space="preserve">Nguyễn Văn Tài</t>
  </si>
  <si>
    <t xml:space="preserve">0900 000 054</t>
  </si>
  <si>
    <t xml:space="preserve">nguyen.van.tai.054@example.com</t>
  </si>
  <si>
    <t xml:space="preserve">Số 11 ngõ 79 Trần Đại Nghĩa, P. Bách Khoa, Q. Hai Bà Trưng, Hà Nội</t>
  </si>
  <si>
    <t xml:space="preserve">Bách Khoa</t>
  </si>
  <si>
    <t xml:space="preserve">P05 · Bên A: Khác giới hợp lệ</t>
  </si>
  <si>
    <t xml:space="preserve">RM055</t>
  </si>
  <si>
    <t xml:space="preserve">Lê Văn Minh</t>
  </si>
  <si>
    <t xml:space="preserve">0900 000 055</t>
  </si>
  <si>
    <t xml:space="preserve">le.van.minh.055@example.com</t>
  </si>
  <si>
    <t xml:space="preserve">Số 79 Quảng An, P. Quảng An, Q. Tây Hồ, Hà Nội</t>
  </si>
  <si>
    <t xml:space="preserve">Quảng An</t>
  </si>
  <si>
    <t xml:space="preserve">Tây Hồ</t>
  </si>
  <si>
    <t xml:space="preserve">P04</t>
  </si>
  <si>
    <t xml:space="preserve">P04 · Bên A: Khác giới – cả hai bật nhưng một bên V1</t>
  </si>
  <si>
    <t xml:space="preserve">RM056</t>
  </si>
  <si>
    <t xml:space="preserve">Đỗ Bảo Yến</t>
  </si>
  <si>
    <t xml:space="preserve">Công ty TNHH Thương mại Đại Phát</t>
  </si>
  <si>
    <t xml:space="preserve">0900 000 056</t>
  </si>
  <si>
    <t xml:space="preserve">do.bao.yen.056@example.com</t>
  </si>
  <si>
    <t xml:space="preserve">Số 17 ngõ 38 Phạm Hùng, P. Mễ Trì, Q. Nam Từ Liêm, Hà Nội</t>
  </si>
  <si>
    <t xml:space="preserve">Hoàng Mai, Tây Hồ</t>
  </si>
  <si>
    <t xml:space="preserve">RM057</t>
  </si>
  <si>
    <t xml:space="preserve">Đoàn Thị Thu</t>
  </si>
  <si>
    <t xml:space="preserve">0900 000 057</t>
  </si>
  <si>
    <t xml:space="preserve">doan.thi.thu.057@example.com</t>
  </si>
  <si>
    <t xml:space="preserve">Số 140 Khương Trung, P. Khương Trung, Q. Thanh Xuân, Hà Nội</t>
  </si>
  <si>
    <t xml:space="preserve">P15</t>
  </si>
  <si>
    <t xml:space="preserve">P15 · Bên B: Dị ứng nặng × thú nhỏ</t>
  </si>
  <si>
    <t xml:space="preserve">RM058</t>
  </si>
  <si>
    <t xml:space="preserve">Trần Việt Sơn</t>
  </si>
  <si>
    <t xml:space="preserve">0900 000 058</t>
  </si>
  <si>
    <t xml:space="preserve">tran.viet.son.058@example.com</t>
  </si>
  <si>
    <t xml:space="preserve">Số 21 ngõ 101 Nguyễn Ngọc Nại, P. Khương Trung, Q. Thanh Xuân, Hà Nội</t>
  </si>
  <si>
    <t xml:space="preserve">P16 · Bên B: Dị ứng nhẹ × thú lớn</t>
  </si>
  <si>
    <t xml:space="preserve">RM059</t>
  </si>
  <si>
    <t xml:space="preserve">Lê Văn Thịnh</t>
  </si>
  <si>
    <t xml:space="preserve">0900 000 059</t>
  </si>
  <si>
    <t xml:space="preserve">le.van.thinh.059@example.com</t>
  </si>
  <si>
    <t xml:space="preserve">Số 25 ngõ 96 Núi Trúc, P. Kim Mã, Q. Ba Đình, Hà Nội</t>
  </si>
  <si>
    <t xml:space="preserve">P14</t>
  </si>
  <si>
    <t xml:space="preserve">P14 · Bên A: Nhóm A cực đoan – làm việc tại nhà</t>
  </si>
  <si>
    <t xml:space="preserve">RM060</t>
  </si>
  <si>
    <t xml:space="preserve">Vũ Quỳnh Giang</t>
  </si>
  <si>
    <t xml:space="preserve">0900 000 060</t>
  </si>
  <si>
    <t xml:space="preserve">vu.quynh.giang.060@example.com</t>
  </si>
  <si>
    <t xml:space="preserve">Số 19 ngõ 132 Nguyễn Xiển, P. Hạ Đình, Q. Thanh Xuân, Hà Nội</t>
  </si>
  <si>
    <t xml:space="preserve">P02 · Bên B: Khác giới – cả hai tắt H1</t>
  </si>
  <si>
    <t xml:space="preserve">RM061</t>
  </si>
  <si>
    <t xml:space="preserve">Lê Anh Vinh</t>
  </si>
  <si>
    <t xml:space="preserve">0900 000 061</t>
  </si>
  <si>
    <t xml:space="preserve">le.anh.vinh.061@example.com</t>
  </si>
  <si>
    <t xml:space="preserve">Số 18 ngõ 5 Cầu Diễn, P. Cầu Diễn, Q. Nam Từ Liêm, Hà Nội</t>
  </si>
  <si>
    <t xml:space="preserve">P14 · Bên B: Nhóm A cực đoan – làm việc tại nhà</t>
  </si>
  <si>
    <t xml:space="preserve">RM062</t>
  </si>
  <si>
    <t xml:space="preserve">Trần Công Sơn</t>
  </si>
  <si>
    <t xml:space="preserve">0900 000 062</t>
  </si>
  <si>
    <t xml:space="preserve">tran.cong.son.062@example.com</t>
  </si>
  <si>
    <t xml:space="preserve">Số 25 ngõ 126 Hào Nam, P. Ô Chợ Dừa, Q. Đống Đa, Hà Nội</t>
  </si>
  <si>
    <t xml:space="preserve">P12</t>
  </si>
  <si>
    <t xml:space="preserve">P12 · Bên B: Cam kết thấp hơn mức yêu cầu</t>
  </si>
  <si>
    <t xml:space="preserve">RM063</t>
  </si>
  <si>
    <t xml:space="preserve">Phạm Việt Long</t>
  </si>
  <si>
    <t xml:space="preserve">0900 000 063</t>
  </si>
  <si>
    <t xml:space="preserve">pham.viet.long.063@example.com</t>
  </si>
  <si>
    <t xml:space="preserve">Số 5 ngõ 161 Tố Hữu, P. Dương Nội, Q. Hà Đông, Hà Nội</t>
  </si>
  <si>
    <t xml:space="preserve">Bỏ trống: A2, D3, D5</t>
  </si>
  <si>
    <t xml:space="preserve">RM064</t>
  </si>
  <si>
    <t xml:space="preserve">Trần Xuân Tiến</t>
  </si>
  <si>
    <t xml:space="preserve">Nhân viên ngân hàng</t>
  </si>
  <si>
    <t xml:space="preserve">Ngân hàng TMCP Phương Bắc (CN Hà Nội)</t>
  </si>
  <si>
    <t xml:space="preserve">0900 000 064</t>
  </si>
  <si>
    <t xml:space="preserve">tran.xuan.tien.064@example.com</t>
  </si>
  <si>
    <t xml:space="preserve">Số 9 ngõ 235 Kim Ngưu, P. Thanh Nhàn, Q. Hai Bà Trưng, Hà Nội</t>
  </si>
  <si>
    <t xml:space="preserve">Ba Đình, Hai Bà Trưng</t>
  </si>
  <si>
    <t xml:space="preserve">Bỏ trống: B2, D1, D3, E1</t>
  </si>
  <si>
    <t xml:space="preserve">RM065</t>
  </si>
  <si>
    <t xml:space="preserve">Võ Phương Nga</t>
  </si>
  <si>
    <t xml:space="preserve">0900 000 065</t>
  </si>
  <si>
    <t xml:space="preserve">vo.phuong.nga.065@example.com</t>
  </si>
  <si>
    <t xml:space="preserve">Số 19 ngõ 199 Ngọc Lâm, P. Ngọc Lâm, Q. Long Biên, Hà Nội</t>
  </si>
  <si>
    <t xml:space="preserve">Ngọc Lâm</t>
  </si>
  <si>
    <t xml:space="preserve">P23 · Bên A: Có ≥2 báo cáo đã xác minh</t>
  </si>
  <si>
    <t xml:space="preserve">RM066</t>
  </si>
  <si>
    <t xml:space="preserve">Hoàng Thị Hằng</t>
  </si>
  <si>
    <t xml:space="preserve">Học viện Tài chính</t>
  </si>
  <si>
    <t xml:space="preserve">0900 000 066</t>
  </si>
  <si>
    <t xml:space="preserve">hoang.thi.hang.066@example.com</t>
  </si>
  <si>
    <t xml:space="preserve">Số 5 ngõ 141 Giảng Võ, P. Giảng Võ, Q. Ba Đình, Hà Nội</t>
  </si>
  <si>
    <t xml:space="preserve">RM067</t>
  </si>
  <si>
    <t xml:space="preserve">Hà Minh Hiền</t>
  </si>
  <si>
    <t xml:space="preserve">0900 000 067</t>
  </si>
  <si>
    <t xml:space="preserve">ha.minh.hien.067@example.com</t>
  </si>
  <si>
    <t xml:space="preserve">Số 15 ngõ 45 Nguyễn Hữu Thọ, P. Hoàng Liệt, Q. Hoàng Mai, Hà Nội</t>
  </si>
  <si>
    <t xml:space="preserve">P08 · Bên B: Ngân sách vượt trần đối phương</t>
  </si>
  <si>
    <t xml:space="preserve">RM068</t>
  </si>
  <si>
    <t xml:space="preserve">Trần Tuấn Khoa</t>
  </si>
  <si>
    <t xml:space="preserve">0900 000 068</t>
  </si>
  <si>
    <t xml:space="preserve">tran.tuan.khoa.068@example.com</t>
  </si>
  <si>
    <t xml:space="preserve">Số 164 Phạm Văn Đồng, P. Cổ Nhuế 1, Q. Bắc Từ Liêm, Hà Nội</t>
  </si>
  <si>
    <t xml:space="preserve">P03 · Bên A: Khác giới – chỉ một bên bật H1</t>
  </si>
  <si>
    <t xml:space="preserve">RM069</t>
  </si>
  <si>
    <t xml:space="preserve">Hồ Quang Vinh</t>
  </si>
  <si>
    <t xml:space="preserve">0900 000 069</t>
  </si>
  <si>
    <t xml:space="preserve">ho.quang.vinh.069@example.com</t>
  </si>
  <si>
    <t xml:space="preserve">Số 1 ngõ 49 Tây Sơn, P. Thịnh Quang, Q. Đống Đa, Hà Nội</t>
  </si>
  <si>
    <t xml:space="preserve">RM070</t>
  </si>
  <si>
    <t xml:space="preserve">Trịnh Ngọc Giang</t>
  </si>
  <si>
    <t xml:space="preserve">0900 000 070</t>
  </si>
  <si>
    <t xml:space="preserve">trinh.ngoc.giang.070@example.com</t>
  </si>
  <si>
    <t xml:space="preserve">Số 72 Nguyễn Xiển, P. Hạ Đình, Q. Thanh Xuân, Hà Nội</t>
  </si>
  <si>
    <t xml:space="preserve">P28</t>
  </si>
  <si>
    <t xml:space="preserve">P28 · Bên A: Không có bonus nào</t>
  </si>
  <si>
    <t xml:space="preserve">RM071</t>
  </si>
  <si>
    <t xml:space="preserve">Đỗ Hồng Ngọc</t>
  </si>
  <si>
    <t xml:space="preserve">0900 000 071</t>
  </si>
  <si>
    <t xml:space="preserve">do.hong.ngoc.071@example.com</t>
  </si>
  <si>
    <t xml:space="preserve">Số 18 ngõ 225 Nguyễn Trãi, P. Thanh Xuân Trung, Q. Thanh Xuân, Hà Nội</t>
  </si>
  <si>
    <t xml:space="preserve">P15 · Bên A: Dị ứng nặng × thú nhỏ</t>
  </si>
  <si>
    <t xml:space="preserve">RM072</t>
  </si>
  <si>
    <t xml:space="preserve">Nguyễn Diệu Nga</t>
  </si>
  <si>
    <t xml:space="preserve">0900 000 072</t>
  </si>
  <si>
    <t xml:space="preserve">nguyen.dieu.nga.072@example.com</t>
  </si>
  <si>
    <t xml:space="preserve">Số 105 Trần Vỹ, P. Mai Dịch, Q. Cầu Giấy, Hà Nội</t>
  </si>
  <si>
    <t xml:space="preserve">Mai Dịch</t>
  </si>
  <si>
    <t xml:space="preserve">RM073</t>
  </si>
  <si>
    <t xml:space="preserve">Trần Việt Long</t>
  </si>
  <si>
    <t xml:space="preserve">0900 000 073</t>
  </si>
  <si>
    <t xml:space="preserve">tran.viet.long.073@example.com</t>
  </si>
  <si>
    <t xml:space="preserve">Số 19 ngõ 73 Giải Phóng, P. Giáp Bát, Q. Hoàng Mai, Hà Nội</t>
  </si>
  <si>
    <t xml:space="preserve">Giáp Bát</t>
  </si>
  <si>
    <t xml:space="preserve">P27 · Bên A: Giờ ngủ lệch 2 bậc (cần chốt)</t>
  </si>
  <si>
    <t xml:space="preserve">RM074</t>
  </si>
  <si>
    <t xml:space="preserve">Nguyễn Việt Nghĩa</t>
  </si>
  <si>
    <t xml:space="preserve">0900 000 074</t>
  </si>
  <si>
    <t xml:space="preserve">nguyen.viet.nghia.074@example.com</t>
  </si>
  <si>
    <t xml:space="preserve">Số 297 Nguyễn Thị Định, P. Trung Hòa, Q. Cầu Giấy, Hà Nội</t>
  </si>
  <si>
    <t xml:space="preserve">Trung Hòa</t>
  </si>
  <si>
    <t xml:space="preserve">RM075</t>
  </si>
  <si>
    <t xml:space="preserve">Nguyễn Minh Anh</t>
  </si>
  <si>
    <t xml:space="preserve">0900 000 075</t>
  </si>
  <si>
    <t xml:space="preserve">nguyen.minh.anh.075@example.com</t>
  </si>
  <si>
    <t xml:space="preserve">Số 18 ngõ 75 Xuân Đỉnh, P. Xuân Đỉnh, Q. Bắc Từ Liêm, Hà Nội</t>
  </si>
  <si>
    <t xml:space="preserve">P07 · Bên B: Lệch tuổi đúng biên</t>
  </si>
  <si>
    <t xml:space="preserve">RM076</t>
  </si>
  <si>
    <t xml:space="preserve">Lê Thanh Ngọc</t>
  </si>
  <si>
    <t xml:space="preserve">0900 000 076</t>
  </si>
  <si>
    <t xml:space="preserve">le.thanh.ngoc.076@example.com</t>
  </si>
  <si>
    <t xml:space="preserve">Số 13 ngõ 32 Phạm Hùng, P. Mễ Trì, Q. Nam Từ Liêm, Hà Nội</t>
  </si>
  <si>
    <t xml:space="preserve">P04 · Bên B: Khác giới – cả hai bật nhưng một bên V1</t>
  </si>
  <si>
    <t xml:space="preserve">RM077</t>
  </si>
  <si>
    <t xml:space="preserve">Võ Thị Huyền</t>
  </si>
  <si>
    <t xml:space="preserve">0900 000 077</t>
  </si>
  <si>
    <t xml:space="preserve">vo.thi.huyen.077@example.com</t>
  </si>
  <si>
    <t xml:space="preserve">Số 5 ngõ 252 Liễu Giai, P. Liễu Giai, Q. Ba Đình, Hà Nội</t>
  </si>
  <si>
    <t xml:space="preserve">RM078</t>
  </si>
  <si>
    <t xml:space="preserve">Lê Văn Hải</t>
  </si>
  <si>
    <t xml:space="preserve">0900 000 078</t>
  </si>
  <si>
    <t xml:space="preserve">le.van.hai.078@example.com</t>
  </si>
  <si>
    <t xml:space="preserve">Số 61 Định Công, P. Định Công, Q. Hoàng Mai, Hà Nội</t>
  </si>
  <si>
    <t xml:space="preserve">Bắc Từ Liêm, Nam Từ Liêm, Thanh Xuân</t>
  </si>
  <si>
    <t xml:space="preserve">RM079</t>
  </si>
  <si>
    <t xml:space="preserve">Đinh Hoài Lan</t>
  </si>
  <si>
    <t xml:space="preserve">0900 000 079</t>
  </si>
  <si>
    <t xml:space="preserve">dinh.hoai.lan.079@example.com</t>
  </si>
  <si>
    <t xml:space="preserve">Số 25 ngõ 58 Xuân Thủy, P. Dịch Vọng Hậu, Q. Cầu Giấy, Hà Nội</t>
  </si>
  <si>
    <t xml:space="preserve">P01 · Bên B: Cặp lý tưởng, bonus vượt trần</t>
  </si>
  <si>
    <t xml:space="preserve">RM080</t>
  </si>
  <si>
    <t xml:space="preserve">Đặng Quốc Phong</t>
  </si>
  <si>
    <t xml:space="preserve">ĐH Ngoại ngữ – ĐHQGHN</t>
  </si>
  <si>
    <t xml:space="preserve">0900 000 080</t>
  </si>
  <si>
    <t xml:space="preserve">dang.quoc.phong.080@example.com</t>
  </si>
  <si>
    <t xml:space="preserve">Số 27 ngõ 112 Nguyễn Thị Định, P. Trung Hòa, Q. Cầu Giấy, Hà Nội</t>
  </si>
  <si>
    <t xml:space="preserve">Cầu Giấy, Hai Bà Trưng</t>
  </si>
  <si>
    <t xml:space="preserve">Bỏ trống: A1, D2, F1</t>
  </si>
  <si>
    <t xml:space="preserve">RM081</t>
  </si>
  <si>
    <t xml:space="preserve">Hoàng Thu Oanh</t>
  </si>
  <si>
    <t xml:space="preserve">0900 000 081</t>
  </si>
  <si>
    <t xml:space="preserve">hoang.thu.oanh.081@example.com</t>
  </si>
  <si>
    <t xml:space="preserve">Số 17 ngõ 260 Âu Cơ, P. Nhật Tân, Q. Tây Hồ, Hà Nội</t>
  </si>
  <si>
    <t xml:space="preserve">Nhật Tân</t>
  </si>
  <si>
    <t xml:space="preserve">Cầu Giấy, Long Biên</t>
  </si>
  <si>
    <t xml:space="preserve">RM082</t>
  </si>
  <si>
    <t xml:space="preserve">Bùi Anh Thắng</t>
  </si>
  <si>
    <t xml:space="preserve">0900 000 082</t>
  </si>
  <si>
    <t xml:space="preserve">bui.anh.thang.082@example.com</t>
  </si>
  <si>
    <t xml:space="preserve">Số 20 ngõ 259 Xuân Diệu, P. Quảng An, Q. Tây Hồ, Hà Nội</t>
  </si>
  <si>
    <t xml:space="preserve">P25 · Bên B: Bỏ trống câu hỏi</t>
  </si>
  <si>
    <t xml:space="preserve">RM083</t>
  </si>
  <si>
    <t xml:space="preserve">Lê Hoài Tâm</t>
  </si>
  <si>
    <t xml:space="preserve">0900 000 083</t>
  </si>
  <si>
    <t xml:space="preserve">le.hoai.tam.083@example.com</t>
  </si>
  <si>
    <t xml:space="preserve">Số 253 Minh Khai, P. Đồng Tâm, Q. Hai Bà Trưng, Hà Nội</t>
  </si>
  <si>
    <t xml:space="preserve">P13 · Bên A: Nhóm A cực đoan – ca đêm</t>
  </si>
  <si>
    <t xml:space="preserve">RM084</t>
  </si>
  <si>
    <t xml:space="preserve">Trần Ngọc Yến</t>
  </si>
  <si>
    <t xml:space="preserve">0900 000 084</t>
  </si>
  <si>
    <t xml:space="preserve">tran.ngoc.yen.084@example.com</t>
  </si>
  <si>
    <t xml:space="preserve">Số 11 ngõ 149 Hoàng Đạo Thúy, P. Nhân Chính, Q. Thanh Xuân, Hà Nội</t>
  </si>
  <si>
    <t xml:space="preserve">RM085</t>
  </si>
  <si>
    <t xml:space="preserve">Bùi Hữu Hưng</t>
  </si>
  <si>
    <t xml:space="preserve">Lập trình viên</t>
  </si>
  <si>
    <t xml:space="preserve">Công ty CP Giải pháp Số Thăng Long</t>
  </si>
  <si>
    <t xml:space="preserve">0900 000 085</t>
  </si>
  <si>
    <t xml:space="preserve">bui.huu.hung.085@example.com</t>
  </si>
  <si>
    <t xml:space="preserve">Số 120 Mễ Trì Hạ, P. Mễ Trì, Q. Nam Từ Liêm, Hà Nội</t>
  </si>
  <si>
    <t xml:space="preserve">RM086</t>
  </si>
  <si>
    <t xml:space="preserve">Phạm Kim Thủy</t>
  </si>
  <si>
    <t xml:space="preserve">0900 000 086</t>
  </si>
  <si>
    <t xml:space="preserve">pham.kim.thuy.086@example.com</t>
  </si>
  <si>
    <t xml:space="preserve">Số 16 ngõ 17 Kim Đồng, P. Định Công, Q. Hoàng Mai, Hà Nội</t>
  </si>
  <si>
    <t xml:space="preserve">RM087</t>
  </si>
  <si>
    <t xml:space="preserve">Nguyễn Quang Phong</t>
  </si>
  <si>
    <t xml:space="preserve">0900 000 087</t>
  </si>
  <si>
    <t xml:space="preserve">nguyen.quang.phong.087@example.com</t>
  </si>
  <si>
    <t xml:space="preserve">Số 3 ngõ 67 Nguyễn Văn Huyên, P. Nghĩa Tân, Q. Cầu Giấy, Hà Nội</t>
  </si>
  <si>
    <t xml:space="preserve">P12 · Bên A: Cam kết thấp hơn mức yêu cầu</t>
  </si>
  <si>
    <t xml:space="preserve">RM088</t>
  </si>
  <si>
    <t xml:space="preserve">Đỗ Công Hoàng</t>
  </si>
  <si>
    <t xml:space="preserve">0900 000 088</t>
  </si>
  <si>
    <t xml:space="preserve">do.cong.hoang.088@example.com</t>
  </si>
  <si>
    <t xml:space="preserve">Số 95 Đình Thôn, P. Mỹ Đình 1, Q. Nam Từ Liêm, Hà Nội</t>
  </si>
  <si>
    <t xml:space="preserve">P06 · Bên B: Lệch tuổi vượt khung</t>
  </si>
  <si>
    <t xml:space="preserve">RM089</t>
  </si>
  <si>
    <t xml:space="preserve">Bùi Phương My</t>
  </si>
  <si>
    <t xml:space="preserve">0900 000 089</t>
  </si>
  <si>
    <t xml:space="preserve">bui.phuong.my.089@example.com</t>
  </si>
  <si>
    <t xml:space="preserve">Số 18 ngõ 224 Cổ Nhuế, P. Cổ Nhuế 1, Q. Bắc Từ Liêm, Hà Nội</t>
  </si>
  <si>
    <t xml:space="preserve">P10 · Bên A: Ngày chuyển vào chênh 22 ngày</t>
  </si>
  <si>
    <t xml:space="preserve">RM090</t>
  </si>
  <si>
    <t xml:space="preserve">Đỗ Mai Hà</t>
  </si>
  <si>
    <t xml:space="preserve">0900 000 090</t>
  </si>
  <si>
    <t xml:space="preserve">do.mai.ha.090@example.com</t>
  </si>
  <si>
    <t xml:space="preserve">Số 21 ngõ 144 Nguyễn Cảnh Dị, P. Đại Kim, Q. Hoàng Mai, Hà Nội</t>
  </si>
  <si>
    <t xml:space="preserve">Đại Kim</t>
  </si>
  <si>
    <t xml:space="preserve">RM091</t>
  </si>
  <si>
    <t xml:space="preserve">Đỗ Thị Tâm</t>
  </si>
  <si>
    <t xml:space="preserve">0900 000 091</t>
  </si>
  <si>
    <t xml:space="preserve">do.thi.tam.091@example.com</t>
  </si>
  <si>
    <t xml:space="preserve">Số 10 Nguyễn Hoàng, P. Mỹ Đình 2, Q. Nam Từ Liêm, Hà Nội</t>
  </si>
  <si>
    <t xml:space="preserve">Mỹ Đình 2</t>
  </si>
  <si>
    <t xml:space="preserve">P20 · Bên A: Phạt A3≥3 × D4≥3</t>
  </si>
  <si>
    <t xml:space="preserve">RM092</t>
  </si>
  <si>
    <t xml:space="preserve">Bùi Thanh Trâm</t>
  </si>
  <si>
    <t xml:space="preserve">0900 000 092</t>
  </si>
  <si>
    <t xml:space="preserve">bui.thanh.tram.092@example.com</t>
  </si>
  <si>
    <t xml:space="preserve">Số 26 ngõ 221 Hoàng Minh Giám, P. Yên Hòa, Q. Cầu Giấy, Hà Nội</t>
  </si>
  <si>
    <t xml:space="preserve">P21 · Bên B: Phạt A2=3 × A1=1</t>
  </si>
  <si>
    <t xml:space="preserve">RM093</t>
  </si>
  <si>
    <t xml:space="preserve">Tạ Minh Thủy</t>
  </si>
  <si>
    <t xml:space="preserve">0900 000 093</t>
  </si>
  <si>
    <t xml:space="preserve">ta.minh.thuy.093@example.com</t>
  </si>
  <si>
    <t xml:space="preserve">Số 123 Kim Đồng, P. Định Công, Q. Hoàng Mai, Hà Nội</t>
  </si>
  <si>
    <t xml:space="preserve">P28 · Bên B: Không có bonus nào</t>
  </si>
  <si>
    <t xml:space="preserve">RM094</t>
  </si>
  <si>
    <t xml:space="preserve">Kiều Anh Phúc</t>
  </si>
  <si>
    <t xml:space="preserve">0900 000 094</t>
  </si>
  <si>
    <t xml:space="preserve">kieu.anh.phuc.094@example.com</t>
  </si>
  <si>
    <t xml:space="preserve">Số 289 Chùa Bộc, P. Khương Thượng, Q. Đống Đa, Hà Nội</t>
  </si>
  <si>
    <t xml:space="preserve">Khương Thượng</t>
  </si>
  <si>
    <t xml:space="preserve">P26 · Bên A: Hút thuốc trong phòng × không hút</t>
  </si>
  <si>
    <t xml:space="preserve">RM095</t>
  </si>
  <si>
    <t xml:space="preserve">Phạm Việt Thắng</t>
  </si>
  <si>
    <t xml:space="preserve">0900 000 095</t>
  </si>
  <si>
    <t xml:space="preserve">pham.viet.thang.095@example.com</t>
  </si>
  <si>
    <t xml:space="preserve">Số 26 ngõ 185 Giải Phóng, P. Giáp Bát, Q. Hoàng Mai, Hà Nội</t>
  </si>
  <si>
    <t xml:space="preserve">P19 · Bên A: Phạt D4≥3 × A1∈{1,2}</t>
  </si>
  <si>
    <t xml:space="preserve">RM096</t>
  </si>
  <si>
    <t xml:space="preserve">Võ Gia Huy</t>
  </si>
  <si>
    <t xml:space="preserve">0900 000 096</t>
  </si>
  <si>
    <t xml:space="preserve">vo.gia.huy.096@example.com</t>
  </si>
  <si>
    <t xml:space="preserve">Số 24 ngõ 117 Châu Văn Liêm, P. Mỹ Đình 2, Q. Nam Từ Liêm, Hà Nội</t>
  </si>
  <si>
    <t xml:space="preserve">RM097</t>
  </si>
  <si>
    <t xml:space="preserve">Nguyễn Công Khánh</t>
  </si>
  <si>
    <t xml:space="preserve">ĐH Giao thông Vận tải</t>
  </si>
  <si>
    <t xml:space="preserve">0900 000 097</t>
  </si>
  <si>
    <t xml:space="preserve">nguyen.cong.khanh.097@example.com</t>
  </si>
  <si>
    <t xml:space="preserve">Số 17 ngõ 60 Giải Phóng, P. Giáp Bát, Q. Hoàng Mai, Hà Nội</t>
  </si>
  <si>
    <t xml:space="preserve">Hoàng Mai, Long Biên</t>
  </si>
  <si>
    <t xml:space="preserve">RM098</t>
  </si>
  <si>
    <t xml:space="preserve">Trần Thu Chi</t>
  </si>
  <si>
    <t xml:space="preserve">ĐH Sư phạm Hà Nội</t>
  </si>
  <si>
    <t xml:space="preserve">0900 000 098</t>
  </si>
  <si>
    <t xml:space="preserve">tran.thu.chi.098@example.com</t>
  </si>
  <si>
    <t xml:space="preserve">Số 238 Minh Khai, P. Vĩnh Tuy, Q. Hai Bà Trưng, Hà Nội</t>
  </si>
  <si>
    <t xml:space="preserve">Ba Đình, Cầu Giấy, Long Biên</t>
  </si>
  <si>
    <t xml:space="preserve">RM099</t>
  </si>
  <si>
    <t xml:space="preserve">Nguyễn Trọng Sơn</t>
  </si>
  <si>
    <t xml:space="preserve">0900 000 099</t>
  </si>
  <si>
    <t xml:space="preserve">nguyen.trong.son.099@example.com</t>
  </si>
  <si>
    <t xml:space="preserve">Số 94 Tương Mai, P. Tương Mai, Q. Hoàng Mai, Hà Nội</t>
  </si>
  <si>
    <t xml:space="preserve">Tương Mai</t>
  </si>
  <si>
    <t xml:space="preserve">Hoàng Mai, Thanh Xuân</t>
  </si>
  <si>
    <t xml:space="preserve">RM100</t>
  </si>
  <si>
    <t xml:space="preserve">Dương Tuấn Hiếu</t>
  </si>
  <si>
    <t xml:space="preserve">0900 000 100</t>
  </si>
  <si>
    <t xml:space="preserve">duong.tuan.hieu.100@example.com</t>
  </si>
  <si>
    <t xml:space="preserve">Số 24 ngõ 161 Khương Trung, P. Khương Trung, Q. Thanh Xuân, Hà Nội</t>
  </si>
  <si>
    <t xml:space="preserve">Mã cặp</t>
  </si>
  <si>
    <t xml:space="preserve">Kịch bản</t>
  </si>
  <si>
    <t xml:space="preserve">Hồ sơ A (ID)</t>
  </si>
  <si>
    <t xml:space="preserve">Tên A</t>
  </si>
  <si>
    <t xml:space="preserve">Hồ sơ B (ID)</t>
  </si>
  <si>
    <t xml:space="preserve">Tên B</t>
  </si>
  <si>
    <t xml:space="preserve">Thiết lập khác biệt</t>
  </si>
  <si>
    <t xml:space="preserve">Kết quả kỳ vọng</t>
  </si>
  <si>
    <t xml:space="preserve">Mục tài liệu tham chiếu</t>
  </si>
  <si>
    <t xml:space="preserve">Cặp lý tưởng, bonus vượt trần</t>
  </si>
  <si>
    <t xml:space="preserve">16 câu trả lời giống hệt nhau; cùng cơ quan, cùng phường, cùng V4, S1–S4 đều đạt ngưỡng bonus</t>
  </si>
  <si>
    <t xml:space="preserve">Qua Hard Gate. 16 sim = 1; B_emp đủ điều kiện vượt +0,15 nên bị cắt trần +0,15; P_pen = 0 → COMPAT ≥ 96, có thể chạm trần 99.</t>
  </si>
  <si>
    <t xml:space="preserve">V (pipeline), VIII (B_emp, trần +0,15), IX (trần 99)</t>
  </si>
  <si>
    <t xml:space="preserve">Khác giới – cả hai tắt H1</t>
  </si>
  <si>
    <t xml:space="preserve">A nam, B nữ; H1 của cả hai = Không</t>
  </si>
  <si>
    <t xml:space="preserve">LOẠI – vi phạm H1 (cùng giới là mặc định).</t>
  </si>
  <si>
    <t xml:space="preserve">III – H1</t>
  </si>
  <si>
    <t xml:space="preserve">Khác giới – chỉ một bên bật H1</t>
  </si>
  <si>
    <t xml:space="preserve">A bật H1 (V3), B không bật H1</t>
  </si>
  <si>
    <t xml:space="preserve">LOẠI – H1 yêu cầu CẢ HAI chủ động bật.</t>
  </si>
  <si>
    <t xml:space="preserve">Khác giới – cả hai bật nhưng một bên V1</t>
  </si>
  <si>
    <t xml:space="preserve">Cả hai bật H1; A mới ở mức V1</t>
  </si>
  <si>
    <t xml:space="preserve">LOẠI – A chưa đạt V2+.</t>
  </si>
  <si>
    <t xml:space="preserve">Khác giới hợp lệ</t>
  </si>
  <si>
    <t xml:space="preserve">Cả hai bật H1, đều ≥ V2</t>
  </si>
  <si>
    <t xml:space="preserve">QUA H1; các ràng buộc khác đạt → được tính điểm bình thường.</t>
  </si>
  <si>
    <t xml:space="preserve">Lệch tuổi vượt khung</t>
  </si>
  <si>
    <t xml:space="preserve">Chênh 8 tuổi, khung H2 = ±6 của cả hai</t>
  </si>
  <si>
    <t xml:space="preserve">LOẠI – vi phạm H2.</t>
  </si>
  <si>
    <t xml:space="preserve">III – H2</t>
  </si>
  <si>
    <t xml:space="preserve">Lệch tuổi đúng biên</t>
  </si>
  <si>
    <t xml:space="preserve">Chênh đúng 6 tuổi</t>
  </si>
  <si>
    <t xml:space="preserve">QUA H2 (biên ≤ 6).</t>
  </si>
  <si>
    <t xml:space="preserve">Ngân sách vượt trần đối phương</t>
  </si>
  <si>
    <t xml:space="preserve">Ngân sách A 4,5 tr &gt; trần B 3,5 tr</t>
  </si>
  <si>
    <t xml:space="preserve">LOẠI – vi phạm H3.</t>
  </si>
  <si>
    <t xml:space="preserve">III – H3</t>
  </si>
  <si>
    <t xml:space="preserve">Khu vực không giao nhau</t>
  </si>
  <si>
    <t xml:space="preserve">A chọn Cầu Giấy, B chọn Hà Đông</t>
  </si>
  <si>
    <t xml:space="preserve">LOẠI – vi phạm H4 (không có khu vực chung).</t>
  </si>
  <si>
    <t xml:space="preserve">III – H4</t>
  </si>
  <si>
    <t xml:space="preserve">Ngày chuyển vào chênh 22 ngày</t>
  </si>
  <si>
    <t xml:space="preserve">01/11/2026 so với 23/11/2026</t>
  </si>
  <si>
    <t xml:space="preserve">LOẠI – vi phạm H5 (&gt;21 ngày).</t>
  </si>
  <si>
    <t xml:space="preserve">III – H5</t>
  </si>
  <si>
    <t xml:space="preserve">Ngày chuyển vào chênh đúng 21 ngày</t>
  </si>
  <si>
    <t xml:space="preserve">01/11/2026 so với 22/11/2026</t>
  </si>
  <si>
    <t xml:space="preserve">QUA H5 (biên ≤ 21 ngày).</t>
  </si>
  <si>
    <t xml:space="preserve">Cam kết thấp hơn mức yêu cầu</t>
  </si>
  <si>
    <t xml:space="preserve">A yêu cầu ≥ 6 tháng, B chỉ cam kết 3 tháng</t>
  </si>
  <si>
    <t xml:space="preserve">LOẠI – vi phạm H6.</t>
  </si>
  <si>
    <t xml:space="preserve">III – H6</t>
  </si>
  <si>
    <t xml:space="preserve">Nhóm A cực đoan – ca đêm</t>
  </si>
  <si>
    <t xml:space="preserve">A2: A làm ca đêm thường xuyên (3) ↔ B không (1)</t>
  </si>
  <si>
    <t xml:space="preserve">LOẠI – cặp cực đoan A2 3↔1.</t>
  </si>
  <si>
    <t xml:space="preserve">II (A2), V bước 0</t>
  </si>
  <si>
    <t xml:space="preserve">Nhóm A cực đoan – làm việc tại nhà</t>
  </si>
  <si>
    <t xml:space="preserve">A3: A ở nhà cả tuần (4) ↔ B không (1)</t>
  </si>
  <si>
    <t xml:space="preserve">LOẠI – cặp cực đoan A3 4↔1.</t>
  </si>
  <si>
    <t xml:space="preserve">II (A3), V bước 0</t>
  </si>
  <si>
    <t xml:space="preserve">Dị ứng nặng × thú nhỏ</t>
  </si>
  <si>
    <t xml:space="preserve">A dị ứng nặng/rất sợ (D2=3); B nuôi thú nhỏ (D3=2)</t>
  </si>
  <si>
    <t xml:space="preserve">LOẠI – ma trận D2×D3 = 0,00 + LOẠI.</t>
  </si>
  <si>
    <t xml:space="preserve">VII – D2×D3</t>
  </si>
  <si>
    <t xml:space="preserve">Dị ứng nhẹ × thú lớn</t>
  </si>
  <si>
    <t xml:space="preserve">A dị ứng nhẹ (D2=2); B nuôi thú lớn (D3=3)</t>
  </si>
  <si>
    <t xml:space="preserve">Dị ứng nhẹ × thú nhỏ</t>
  </si>
  <si>
    <t xml:space="preserve">A dị ứng nhẹ (D2=2); B nuôi thú nhỏ (D3=2)</t>
  </si>
  <si>
    <t xml:space="preserve">QUA gate; sim(D2×D3) = 0,35, áp hiệu chỉnh tier cho tiêu chí CỨNG.</t>
  </si>
  <si>
    <t xml:space="preserve">Phạt F1=4 × C1=1</t>
  </si>
  <si>
    <t xml:space="preserve">A: khách thường xuyên, ở dài ngày (F1=4); B: riêng tư bất khả xâm phạm (C1=1)</t>
  </si>
  <si>
    <t xml:space="preserve">QUA gate; P_pen = −0,15.</t>
  </si>
  <si>
    <t xml:space="preserve">VIII – P_pen</t>
  </si>
  <si>
    <t xml:space="preserve">Phạt D4≥3 × A1∈{1,2}</t>
  </si>
  <si>
    <t xml:space="preserve">A: hơi ồn (D4=3); B: ngủ sớm (A1=2)</t>
  </si>
  <si>
    <t xml:space="preserve">QUA gate; P_pen = −0,12.</t>
  </si>
  <si>
    <t xml:space="preserve">Phạt A3≥3 × D4≥3</t>
  </si>
  <si>
    <t xml:space="preserve">A: ở nhà 3–4 ngày/tuần (A3=3); B: hơi ồn (D4=3)</t>
  </si>
  <si>
    <t xml:space="preserve">QUA gate; P_pen = −0,10.</t>
  </si>
  <si>
    <t xml:space="preserve">Phạt A2=3 × A1=1</t>
  </si>
  <si>
    <t xml:space="preserve">A: ca đêm thường xuyên (A2=3); B: ngủ trước 22h30 (A1=1)</t>
  </si>
  <si>
    <t xml:space="preserve">Cộng dồn ba phạt nhỏ</t>
  </si>
  <si>
    <t xml:space="preserve">B2 1↔4, F2 1↔2, E1 4↔1</t>
  </si>
  <si>
    <t xml:space="preserve">QUA gate; P_pen = −0,08 −0,06 −0,05 = −0,19.</t>
  </si>
  <si>
    <t xml:space="preserve">Có ≥2 báo cáo đã xác minh</t>
  </si>
  <si>
    <t xml:space="preserve">A có 2 báo cáo xác minh trong 90 ngày</t>
  </si>
  <si>
    <t xml:space="preserve">QUA gate; P_pen = −0,20.</t>
  </si>
  <si>
    <t xml:space="preserve">Phạt chạm sàn −0,35</t>
  </si>
  <si>
    <t xml:space="preserve">Kích hoạt đồng thời F1=4×C1=1 (−0,15), D4≥3×A1∈{1,2} (−0,12), A3≥3×D4≥3 (−0,10)</t>
  </si>
  <si>
    <t xml:space="preserve">QUA gate; tổng phạt −0,37 bị chặn ở sàn P_pen = −0,35.</t>
  </si>
  <si>
    <t xml:space="preserve">V bước 3, VIII</t>
  </si>
  <si>
    <t xml:space="preserve">Bỏ trống câu hỏi</t>
  </si>
  <si>
    <t xml:space="preserve">A bỏ trống A1, B1, D4</t>
  </si>
  <si>
    <t xml:space="preserve">QUA gate; sim của A1, B1, D4 = 0,50 và KHÔNG hiển thị trong phần giải thích.</t>
  </si>
  <si>
    <t xml:space="preserve">V bước 1</t>
  </si>
  <si>
    <t xml:space="preserve">Hút thuốc trong phòng × không hút</t>
  </si>
  <si>
    <t xml:space="preserve">D1: A không hút (1) ↔ B hút trong phòng (3)</t>
  </si>
  <si>
    <t xml:space="preserve">QUA gate (D1 không thuộc Nhóm A); sim(D1) = 0 và áp hiệu chỉnh tier CỨNG.</t>
  </si>
  <si>
    <t xml:space="preserve">II (D1), VI</t>
  </si>
  <si>
    <t xml:space="preserve">Giờ ngủ lệch 2 bậc (cần chốt)</t>
  </si>
  <si>
    <t xml:space="preserve">A1: A ngủ trước 22h30 (1) ↔ B ngủ 23h30–01h00 (3)</t>
  </si>
  <si>
    <t xml:space="preserve">CẦN CHỐT SPEC: A1 lệch ≥2 là tiêu chí CỨNG nhưng tài liệu chưa nói rõ 'cặp cực đoan' của Nhóm A có gồm A1 hay chỉ áp tier. Mẫu này dùng để kiểm tra cách hiểu.</t>
  </si>
  <si>
    <t xml:space="preserve">II (A1), V bước 0 và 2</t>
  </si>
  <si>
    <t xml:space="preserve">Không có bonus nào</t>
  </si>
  <si>
    <t xml:space="preserve">V1 cả hai, khác cơ quan, khác phường, ngân sách chênh 33%, chưa có S1–S4</t>
  </si>
  <si>
    <t xml:space="preserve">QUA gate; B_emp = 0, P_pen = 0, RAW = S_base.</t>
  </si>
  <si>
    <t xml:space="preserve">VIII – B_emp</t>
  </si>
  <si>
    <t xml:space="preserve">ROOMORA – Bộ 100 hồ sơ mẫu cho Lifestyle Survey &amp; Compatibility Score (v1.0)</t>
  </si>
  <si>
    <t xml:space="preserve">Ngày tham chiếu để tính tuổi</t>
  </si>
  <si>
    <t xml:space="preserve">Ô nhập liệu (chữ xanh): đổi ngày này thì cột Tuổi ở sheet Hồ sơ tự tính lại.</t>
  </si>
  <si>
    <t xml:space="preserve">Thống kê nhanh</t>
  </si>
  <si>
    <t xml:space="preserve">Tổng số hồ sơ</t>
  </si>
  <si>
    <t xml:space="preserve">Sinh viên</t>
  </si>
  <si>
    <t xml:space="preserve">Hồ sơ thuộc cặp test đặc biệt</t>
  </si>
  <si>
    <t xml:space="preserve">Hồ sơ ngẫu nhiên thiếu dữ liệu</t>
  </si>
  <si>
    <t xml:space="preserve">Số cặp test đặc biệt</t>
  </si>
  <si>
    <t xml:space="preserve">Lưu ý khi dùng dữ liệu</t>
  </si>
  <si>
    <t xml:space="preserve">1.</t>
  </si>
  <si>
    <t xml:space="preserve">Toàn bộ họ tên, SĐT, email, số nhà là dữ liệu giả lập. SĐT dạng 0900 000 xxx, email dùng miền example.com. Tên đường và phường là địa danh có thật ở Hà Nội.</t>
  </si>
  <si>
    <t xml:space="preserve">2.</t>
  </si>
  <si>
    <t xml:space="preserve">Địa chỉ ghi theo dạng Phường – Quận (đúng với cách tài liệu v1.0 viết 'phường/quận'). Nếu app dùng đơn vị hành chính mới thì đổi lại khi import.</t>
  </si>
  <si>
    <t xml:space="preserve">3.</t>
  </si>
  <si>
    <t xml:space="preserve">H4 để trống = chọn tất cả khu vực (đúng theo tài liệu).</t>
  </si>
  <si>
    <t xml:space="preserve">4.</t>
  </si>
  <si>
    <t xml:space="preserve">Ô survey để trống = người dùng bỏ qua câu hỏi (sim = 0,50 và không hiển thị trong phần giải thích).</t>
  </si>
  <si>
    <t xml:space="preserve">5.</t>
  </si>
  <si>
    <t xml:space="preserve">S1–S4 để trống = hồ sơ mới, chưa có hành vi đo được. Tài liệu chưa định nghĩa công thức sim cho S1–S4 và các mức V1–V4, nên mẫu chỉ cung cấp dữ liệu đầu vào.</t>
  </si>
  <si>
    <t xml:space="preserve">6.</t>
  </si>
  <si>
    <t xml:space="preserve">Hàng nền vàng nhạt ở sheet Hồ sơ là hồ sơ thuộc 28 cặp test đặc biệt; mỗi cặp chỉ khác nhau ở thuộc tính cần kiểm tra, còn lại dùng giá trị trung tính (16 câu = phương án 'chuẩn' B1=2, A1=2...).</t>
  </si>
  <si>
    <t xml:space="preserve">7.</t>
  </si>
  <si>
    <t xml:space="preserve">Chưa tính sẵn COMPAT cho từng cặp vì tài liệu chưa chỉ rõ tiêu chí nào thuộc tier T1/T2/T3 (k = 1,8 / 1,3 / 1,0) và công thức sim cho S1–S4. Sheet 'Cặp test đặc biệt' ghi kết quả kỳ vọng ở mức Hard Gate và P_pen / B_emp.</t>
  </si>
  <si>
    <t xml:space="preserve">Màu tiêu đề cột (sheet Hồ sơ)</t>
  </si>
  <si>
    <t xml:space="preserve">Thông tin cá nhân</t>
  </si>
  <si>
    <t xml:space="preserve">Ràng buộc ghép H1–H6</t>
  </si>
  <si>
    <t xml:space="preserve">Survey – tiêu chí CỨNG</t>
  </si>
  <si>
    <t xml:space="preserve">Survey – tiêu chí MỀM</t>
  </si>
  <si>
    <t xml:space="preserve">Chỉ số hệ thống S1–S4 &amp; báo cáo</t>
  </si>
  <si>
    <t xml:space="preserve">Ghi chú mẫu</t>
  </si>
  <si>
    <t xml:space="preserve">Mã hoá đáp án survey</t>
  </si>
  <si>
    <t xml:space="preserve">Mã – Tiêu chí</t>
  </si>
  <si>
    <t xml:space="preserve">Loại</t>
  </si>
  <si>
    <t xml:space="preserve">Giá trị đáp án</t>
  </si>
  <si>
    <t xml:space="preserve">A1 – Giờ ngủ – giờ dậy</t>
  </si>
  <si>
    <t xml:space="preserve">CỨNG</t>
  </si>
  <si>
    <t xml:space="preserve">1 Trước 22h30 | 2 22h30–23h30 | 3 23h30–01h00 | 4 Sau 01h00</t>
  </si>
  <si>
    <t xml:space="preserve">A2 – Làm ca đêm / giờ bất thường</t>
  </si>
  <si>
    <t xml:space="preserve">1 Không | 2 Thỉnh thoảng ≤2 buổi/tuần | 3 Thường xuyên ≥3 buổi/tuần</t>
  </si>
  <si>
    <t xml:space="preserve">A3 – Làm việc tại nhà</t>
  </si>
  <si>
    <t xml:space="preserve">1 Không | 2 1–2 ngày | 3 3–4 ngày | 4 Cả tuần</t>
  </si>
  <si>
    <t xml:space="preserve">B1 – Tiêu chuẩn vệ sinh</t>
  </si>
  <si>
    <t xml:space="preserve">1 Rất sạch | 2 Khá sạch | 3 Bình thường | 4 Hơi bừa</t>
  </si>
  <si>
    <t xml:space="preserve">B2 – Tần suất dọn không gian chung</t>
  </si>
  <si>
    <t xml:space="preserve">MỀM</t>
  </si>
  <si>
    <t xml:space="preserve">1 Hằng ngày | 2 2–3 lần/tuần | 3 1 lần/tuần | 4 Khi thấy bẩn</t>
  </si>
  <si>
    <t xml:space="preserve">C1 – Mức riêng tư mong muốn</t>
  </si>
  <si>
    <t xml:space="preserve">1 Bất khả xâm phạm | 2 Thoải mái nhưng hỏi trước | 3 Rất mở, dùng chung được</t>
  </si>
  <si>
    <t xml:space="preserve">C2 – Giao tiếp &amp; xử lý mâu thuẫn</t>
  </si>
  <si>
    <t xml:space="preserve">1 Nói thẳng | 2 Nhắn tin riêng | 3 Nhịn cho qua | 4 Nhờ người thứ ba</t>
  </si>
  <si>
    <t xml:space="preserve">C3 – Mức độ thân thiết</t>
  </si>
  <si>
    <t xml:space="preserve">1 Chỉ lịch sự | 2 Thân thiện vừa | 3 Thân thiết như bạn</t>
  </si>
  <si>
    <t xml:space="preserve">D1 – Thuốc lá / vape</t>
  </si>
  <si>
    <t xml:space="preserve">1 Không | 2 Chỉ ngoài ban công/khu riêng | 3 Hút trong phòng</t>
  </si>
  <si>
    <t xml:space="preserve">D2 – Dị ứng / sợ động vật</t>
  </si>
  <si>
    <t xml:space="preserve">1 Không | 2 Dị ứng nhẹ | 3 Dị ứng nặng/rất sợ</t>
  </si>
  <si>
    <t xml:space="preserve">D3 – Thú cưng</t>
  </si>
  <si>
    <t xml:space="preserve">1 Không nuôi | 2 Loại nhỏ | 3 Loại lớn</t>
  </si>
  <si>
    <t xml:space="preserve">D4 – Tiếng ồn</t>
  </si>
  <si>
    <t xml:space="preserve">1 Rất yên tĩnh | 2 Vừa phải | 3 Hơi ồn | 4 Ồn thường xuyên</t>
  </si>
  <si>
    <t xml:space="preserve">D5 – Nhiệt độ, ánh sáng, mùi khi ngủ</t>
  </si>
  <si>
    <t xml:space="preserve">1 Lạnh + tối hoàn toàn + không mùi | 2 Mát + đèn ngủ | 3 Ấm + sáng cũng được</t>
  </si>
  <si>
    <t xml:space="preserve">E1 – Nấu ăn &amp; ăn chung</t>
  </si>
  <si>
    <t xml:space="preserve">1 Không nấu | 2 Nấu riêng ăn riêng | 3 Nấu riêng ăn chung thỉnh thoảng | 4 Nấu và ăn chung</t>
  </si>
  <si>
    <t xml:space="preserve">F1 – Khách đến chơi &amp; qua đêm</t>
  </si>
  <si>
    <t xml:space="preserve">1 Không bao giờ | 2 1–2 lần/tháng, không qua đêm | 3 3–4 lần/tháng, thỉnh thoảng qua đêm | 4 Thường xuyên, ở dài ngày</t>
  </si>
  <si>
    <t xml:space="preserve">F2 – Cách chia chi phí chung</t>
  </si>
  <si>
    <t xml:space="preserve">1 Chia đều | 2 Theo mức sử dụng | 3 Luân phiên | 4 Một người lo toàn bộ, người kia trả cố định</t>
  </si>
</sst>
</file>

<file path=xl/styles.xml><?xml version="1.0" encoding="utf-8"?>
<styleSheet xmlns="http://schemas.openxmlformats.org/spreadsheetml/2006/main">
  <numFmts count="4">
    <numFmt numFmtId="164" formatCode="General"/>
    <numFmt numFmtId="165" formatCode="dd/mm/yyyy"/>
    <numFmt numFmtId="166" formatCode="@"/>
    <numFmt numFmtId="167" formatCode="0.0"/>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s>
  <fills count="12">
    <fill>
      <patternFill patternType="none"/>
    </fill>
    <fill>
      <patternFill patternType="gray125"/>
    </fill>
    <fill>
      <patternFill patternType="solid">
        <fgColor rgb="FF1F3864"/>
        <bgColor rgb="FF404040"/>
      </patternFill>
    </fill>
    <fill>
      <patternFill patternType="solid">
        <fgColor rgb="FF375623"/>
        <bgColor rgb="FF404040"/>
      </patternFill>
    </fill>
    <fill>
      <patternFill patternType="solid">
        <fgColor rgb="FF7B2D26"/>
        <bgColor rgb="FF993366"/>
      </patternFill>
    </fill>
    <fill>
      <patternFill patternType="solid">
        <fgColor rgb="FF7F6000"/>
        <bgColor rgb="FF7B2D26"/>
      </patternFill>
    </fill>
    <fill>
      <patternFill patternType="solid">
        <fgColor rgb="FF4B3869"/>
        <bgColor rgb="FF404040"/>
      </patternFill>
    </fill>
    <fill>
      <patternFill patternType="solid">
        <fgColor rgb="FF404040"/>
        <bgColor rgb="FF4B3869"/>
      </patternFill>
    </fill>
    <fill>
      <patternFill patternType="solid">
        <fgColor rgb="FFFFF4D6"/>
        <bgColor rgb="FFFFF2CC"/>
      </patternFill>
    </fill>
    <fill>
      <patternFill patternType="solid">
        <fgColor rgb="FFE8F3E4"/>
        <bgColor rgb="FFFFF4D6"/>
      </patternFill>
    </fill>
    <fill>
      <patternFill patternType="solid">
        <fgColor rgb="FFFDE9E7"/>
        <bgColor rgb="FFFFF4D6"/>
      </patternFill>
    </fill>
    <fill>
      <patternFill patternType="solid">
        <fgColor rgb="FFFFF2CC"/>
        <bgColor rgb="FFFFF4D6"/>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4" fillId="6" borderId="1" xfId="0" applyFont="true" applyBorder="true" applyAlignment="true" applyProtection="false">
      <alignment horizontal="center" vertical="center" textRotation="0" wrapText="true" indent="0" shrinkToFit="false"/>
      <protection locked="true" hidden="false"/>
    </xf>
    <xf numFmtId="164" fontId="4" fillId="7"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left" vertical="center" textRotation="0" wrapText="false" indent="0" shrinkToFit="false"/>
      <protection locked="true" hidden="false"/>
    </xf>
    <xf numFmtId="167" fontId="5" fillId="0" borderId="1" xfId="0" applyFont="true" applyBorder="true" applyAlignment="true" applyProtection="false">
      <alignment horizontal="center" vertical="center" textRotation="0" wrapText="false" indent="0" shrinkToFit="false"/>
      <protection locked="true" hidden="false"/>
    </xf>
    <xf numFmtId="164" fontId="5" fillId="8" borderId="1" xfId="0" applyFont="true" applyBorder="true" applyAlignment="true" applyProtection="false">
      <alignment horizontal="center" vertical="center" textRotation="0" wrapText="false" indent="0" shrinkToFit="false"/>
      <protection locked="true" hidden="false"/>
    </xf>
    <xf numFmtId="164" fontId="5" fillId="8" borderId="1" xfId="0" applyFont="true" applyBorder="true" applyAlignment="true" applyProtection="false">
      <alignment horizontal="left" vertical="center" textRotation="0" wrapText="false" indent="0" shrinkToFit="false"/>
      <protection locked="true" hidden="false"/>
    </xf>
    <xf numFmtId="165" fontId="5" fillId="8" borderId="1" xfId="0" applyFont="true" applyBorder="true" applyAlignment="true" applyProtection="false">
      <alignment horizontal="center" vertical="center" textRotation="0" wrapText="false" indent="0" shrinkToFit="false"/>
      <protection locked="true" hidden="false"/>
    </xf>
    <xf numFmtId="166" fontId="5" fillId="8" borderId="1" xfId="0" applyFont="true" applyBorder="true" applyAlignment="true" applyProtection="false">
      <alignment horizontal="left" vertical="center" textRotation="0" wrapText="false" indent="0" shrinkToFit="false"/>
      <protection locked="true" hidden="false"/>
    </xf>
    <xf numFmtId="167" fontId="5" fillId="8"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9" borderId="1" xfId="0" applyFont="true" applyBorder="true" applyAlignment="true" applyProtection="false">
      <alignment horizontal="left" vertical="top" textRotation="0" wrapText="true" indent="0" shrinkToFit="false"/>
      <protection locked="true" hidden="false"/>
    </xf>
    <xf numFmtId="164" fontId="5" fillId="10" borderId="1" xfId="0" applyFont="true" applyBorder="true" applyAlignment="true" applyProtection="false">
      <alignment horizontal="left" vertical="top" textRotation="0" wrapText="true" indent="0" shrinkToFit="false"/>
      <protection locked="true" hidden="false"/>
    </xf>
    <xf numFmtId="164" fontId="5" fillId="11"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top" textRotation="0" wrapText="false" indent="0" shrinkToFit="false"/>
      <protection locked="true" hidden="false"/>
    </xf>
    <xf numFmtId="164" fontId="4" fillId="3" borderId="0" xfId="0" applyFont="true" applyBorder="false" applyAlignment="true" applyProtection="false">
      <alignment horizontal="general" vertical="top" textRotation="0" wrapText="false" indent="0" shrinkToFit="false"/>
      <protection locked="true" hidden="false"/>
    </xf>
    <xf numFmtId="164" fontId="4" fillId="4" borderId="0" xfId="0" applyFont="true" applyBorder="false" applyAlignment="true" applyProtection="false">
      <alignment horizontal="general" vertical="top" textRotation="0" wrapText="false" indent="0" shrinkToFit="false"/>
      <protection locked="true" hidden="false"/>
    </xf>
    <xf numFmtId="164" fontId="4" fillId="5" borderId="0" xfId="0" applyFont="true" applyBorder="false" applyAlignment="true" applyProtection="false">
      <alignment horizontal="general" vertical="top" textRotation="0" wrapText="false" indent="0" shrinkToFit="false"/>
      <protection locked="true" hidden="false"/>
    </xf>
    <xf numFmtId="164" fontId="4" fillId="6" borderId="0" xfId="0" applyFont="true" applyBorder="false" applyAlignment="true" applyProtection="false">
      <alignment horizontal="general" vertical="top" textRotation="0" wrapText="false" indent="0" shrinkToFit="false"/>
      <protection locked="true" hidden="false"/>
    </xf>
    <xf numFmtId="164" fontId="4" fillId="7"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fgColor rgb="FFFFF4D6"/>
          <bgColor rgb="FF000000"/>
        </patternFill>
      </fill>
    </dxf>
    <dxf>
      <fill>
        <patternFill patternType="solid">
          <bgColor rgb="FF000000"/>
        </patternFill>
      </fill>
    </dxf>
    <dxf>
      <fill>
        <patternFill patternType="solid">
          <fgColor rgb="FFFFFFFF"/>
          <bgColor rgb="FF000000"/>
        </patternFill>
      </fill>
    </dxf>
    <dxf>
      <fill>
        <patternFill patternType="solid">
          <fgColor rgb="FF375623"/>
          <bgColor rgb="FF000000"/>
        </patternFill>
      </fill>
    </dxf>
    <dxf>
      <fill>
        <patternFill patternType="solid">
          <fgColor rgb="FF7B2D26"/>
          <bgColor rgb="FF000000"/>
        </patternFill>
      </fill>
    </dxf>
    <dxf>
      <fill>
        <patternFill patternType="solid">
          <fgColor rgb="FF7F6000"/>
          <bgColor rgb="FF000000"/>
        </patternFill>
      </fill>
    </dxf>
    <dxf>
      <fill>
        <patternFill patternType="solid">
          <fgColor rgb="FF4B3869"/>
          <bgColor rgb="FF000000"/>
        </patternFill>
      </fill>
    </dxf>
    <dxf>
      <fill>
        <patternFill patternType="solid">
          <fgColor rgb="FF404040"/>
          <bgColor rgb="FF000000"/>
        </patternFill>
      </fill>
    </dxf>
    <dxf>
      <fill>
        <patternFill patternType="solid">
          <fgColor rgb="FFE8F3E4"/>
          <bgColor rgb="FF000000"/>
        </patternFill>
      </fill>
    </dxf>
    <dxf>
      <fill>
        <patternFill patternType="solid">
          <fgColor rgb="FFFDE9E7"/>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4D6"/>
      <rgbColor rgb="FFFDE9E7"/>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E8F3E4"/>
      <rgbColor rgb="FFFFF2CC"/>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75623"/>
      <rgbColor rgb="FF7B2D26"/>
      <rgbColor rgb="FF993366"/>
      <rgbColor rgb="FF4B386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9"/>
    <col collapsed="false" customWidth="true" hidden="false" outlineLevel="0" max="4" min="4" style="0" width="12"/>
    <col collapsed="false" customWidth="true" hidden="false" outlineLevel="0" max="5" min="5" style="0" width="7"/>
    <col collapsed="false" customWidth="true" hidden="false" outlineLevel="0" max="6" min="6" style="0" width="28"/>
    <col collapsed="false" customWidth="true" hidden="false" outlineLevel="0" max="7" min="7" style="0" width="36"/>
    <col collapsed="false" customWidth="true" hidden="false" outlineLevel="0" max="8" min="8" style="0" width="14"/>
    <col collapsed="false" customWidth="true" hidden="false" outlineLevel="0" max="9" min="9" style="0" width="34"/>
    <col collapsed="false" customWidth="true" hidden="false" outlineLevel="0" max="10" min="10" style="0" width="52"/>
    <col collapsed="false" customWidth="true" hidden="false" outlineLevel="0" max="11" min="11" style="0" width="17"/>
    <col collapsed="false" customWidth="true" hidden="false" outlineLevel="0" max="12" min="12" style="0" width="14"/>
    <col collapsed="false" customWidth="true" hidden="false" outlineLevel="0" max="13" min="13" style="0" width="12"/>
    <col collapsed="false" customWidth="true" hidden="false" outlineLevel="0" max="14" min="14" style="0" width="13"/>
    <col collapsed="false" customWidth="true" hidden="false" outlineLevel="0" max="15" min="15" style="0" width="14"/>
    <col collapsed="false" customWidth="true" hidden="false" outlineLevel="0" max="16" min="16" style="0" width="11"/>
    <col collapsed="false" customWidth="true" hidden="false" outlineLevel="0" max="17" min="17" style="0" width="12"/>
    <col collapsed="false" customWidth="true" hidden="false" outlineLevel="0" max="18" min="18" style="0" width="15"/>
    <col collapsed="false" customWidth="true" hidden="false" outlineLevel="0" max="19" min="19" style="0" width="28"/>
    <col collapsed="false" customWidth="true" hidden="false" outlineLevel="0" max="20" min="20" style="0" width="13"/>
    <col collapsed="false" customWidth="true" hidden="false" outlineLevel="0" max="21" min="21" style="0" width="12"/>
    <col collapsed="false" customWidth="true" hidden="false" outlineLevel="0" max="22" min="22" style="0" width="17"/>
    <col collapsed="false" customWidth="true" hidden="false" outlineLevel="0" max="38" min="23" style="0" width="14"/>
    <col collapsed="false" customWidth="true" hidden="false" outlineLevel="0" max="39" min="39" style="0" width="11"/>
    <col collapsed="false" customWidth="true" hidden="false" outlineLevel="0" max="40" min="40" style="0" width="10"/>
    <col collapsed="false" customWidth="true" hidden="false" outlineLevel="0" max="41" min="41" style="0" width="12"/>
    <col collapsed="false" customWidth="true" hidden="false" outlineLevel="0" max="42" min="42" style="0" width="11"/>
    <col collapsed="false" customWidth="true" hidden="false" outlineLevel="0" max="43" min="43" style="0" width="10"/>
    <col collapsed="false" customWidth="true" hidden="false" outlineLevel="0" max="44" min="44" style="0" width="11"/>
    <col collapsed="false" customWidth="true" hidden="false" outlineLevel="0" max="45" min="45" style="0" width="13"/>
    <col collapsed="false" customWidth="true" hidden="false" outlineLevel="0" max="46" min="46" style="0" width="22"/>
    <col collapsed="false" customWidth="true" hidden="false" outlineLevel="0" max="47" min="47" style="0" width="9"/>
    <col collapsed="false" customWidth="true" hidden="false" outlineLevel="0" max="48" min="48" style="0" width="46"/>
  </cols>
  <sheetData>
    <row r="1" customFormat="false" ht="78"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2" t="s">
        <v>19</v>
      </c>
      <c r="U1" s="2" t="s">
        <v>20</v>
      </c>
      <c r="V1" s="2" t="s">
        <v>21</v>
      </c>
      <c r="W1" s="3" t="s">
        <v>22</v>
      </c>
      <c r="X1" s="3" t="s">
        <v>23</v>
      </c>
      <c r="Y1" s="3" t="s">
        <v>24</v>
      </c>
      <c r="Z1" s="3" t="s">
        <v>25</v>
      </c>
      <c r="AA1" s="4" t="s">
        <v>26</v>
      </c>
      <c r="AB1" s="3" t="s">
        <v>27</v>
      </c>
      <c r="AC1" s="4" t="s">
        <v>28</v>
      </c>
      <c r="AD1" s="4" t="s">
        <v>29</v>
      </c>
      <c r="AE1" s="3" t="s">
        <v>30</v>
      </c>
      <c r="AF1" s="3" t="s">
        <v>31</v>
      </c>
      <c r="AG1" s="3" t="s">
        <v>32</v>
      </c>
      <c r="AH1" s="4" t="s">
        <v>33</v>
      </c>
      <c r="AI1" s="4" t="s">
        <v>34</v>
      </c>
      <c r="AJ1" s="4" t="s">
        <v>35</v>
      </c>
      <c r="AK1" s="3" t="s">
        <v>36</v>
      </c>
      <c r="AL1" s="4" t="s">
        <v>37</v>
      </c>
      <c r="AM1" s="5" t="s">
        <v>38</v>
      </c>
      <c r="AN1" s="5" t="s">
        <v>39</v>
      </c>
      <c r="AO1" s="5" t="s">
        <v>40</v>
      </c>
      <c r="AP1" s="5" t="s">
        <v>41</v>
      </c>
      <c r="AQ1" s="5" t="s">
        <v>42</v>
      </c>
      <c r="AR1" s="5" t="s">
        <v>43</v>
      </c>
      <c r="AS1" s="5" t="s">
        <v>44</v>
      </c>
      <c r="AT1" s="6" t="s">
        <v>45</v>
      </c>
      <c r="AU1" s="6" t="s">
        <v>46</v>
      </c>
      <c r="AV1" s="6" t="s">
        <v>47</v>
      </c>
    </row>
    <row r="2" customFormat="false" ht="15" hidden="false" customHeight="false" outlineLevel="0" collapsed="false">
      <c r="A2" s="7" t="s">
        <v>48</v>
      </c>
      <c r="B2" s="8" t="s">
        <v>49</v>
      </c>
      <c r="C2" s="7" t="s">
        <v>50</v>
      </c>
      <c r="D2" s="9" t="n">
        <v>39629</v>
      </c>
      <c r="E2" s="7" t="n">
        <f aca="false">DATEDIF(D2,'Chú giải'!$B$3,"Y")</f>
        <v>18</v>
      </c>
      <c r="F2" s="8" t="s">
        <v>51</v>
      </c>
      <c r="G2" s="8" t="s">
        <v>52</v>
      </c>
      <c r="H2" s="10" t="s">
        <v>53</v>
      </c>
      <c r="I2" s="8" t="s">
        <v>54</v>
      </c>
      <c r="J2" s="8" t="s">
        <v>55</v>
      </c>
      <c r="K2" s="8" t="s">
        <v>56</v>
      </c>
      <c r="L2" s="8" t="s">
        <v>57</v>
      </c>
      <c r="M2" s="7" t="s">
        <v>58</v>
      </c>
      <c r="N2" s="7" t="s">
        <v>59</v>
      </c>
      <c r="O2" s="7" t="s">
        <v>60</v>
      </c>
      <c r="P2" s="7" t="n">
        <v>6</v>
      </c>
      <c r="Q2" s="11" t="n">
        <v>3</v>
      </c>
      <c r="R2" s="11" t="n">
        <v>3.5</v>
      </c>
      <c r="S2" s="8" t="s">
        <v>61</v>
      </c>
      <c r="T2" s="9" t="n">
        <v>46357</v>
      </c>
      <c r="U2" s="7" t="n">
        <v>6</v>
      </c>
      <c r="V2" s="7" t="n">
        <v>3</v>
      </c>
      <c r="W2" s="7" t="n">
        <v>3</v>
      </c>
      <c r="X2" s="7" t="n">
        <v>1</v>
      </c>
      <c r="Y2" s="7" t="n">
        <v>4</v>
      </c>
      <c r="Z2" s="7" t="n">
        <v>3</v>
      </c>
      <c r="AA2" s="7" t="n">
        <v>4</v>
      </c>
      <c r="AB2" s="7" t="n">
        <v>2</v>
      </c>
      <c r="AC2" s="7" t="n">
        <v>2</v>
      </c>
      <c r="AD2" s="7" t="n">
        <v>2</v>
      </c>
      <c r="AE2" s="7" t="n">
        <v>1</v>
      </c>
      <c r="AF2" s="7" t="n">
        <v>1</v>
      </c>
      <c r="AG2" s="7" t="n">
        <v>1</v>
      </c>
      <c r="AH2" s="7" t="n">
        <v>3</v>
      </c>
      <c r="AI2" s="7" t="n">
        <v>2</v>
      </c>
      <c r="AJ2" s="7" t="n">
        <v>3</v>
      </c>
      <c r="AK2" s="7" t="n">
        <v>2</v>
      </c>
      <c r="AL2" s="7" t="n">
        <v>2</v>
      </c>
      <c r="AM2" s="7" t="n">
        <v>88</v>
      </c>
      <c r="AN2" s="7" t="n">
        <v>12</v>
      </c>
      <c r="AO2" s="7" t="n">
        <v>94</v>
      </c>
      <c r="AP2" s="7" t="n">
        <v>4.6</v>
      </c>
      <c r="AQ2" s="7" t="n">
        <v>0</v>
      </c>
      <c r="AR2" s="7"/>
      <c r="AS2" s="7" t="n">
        <v>0</v>
      </c>
      <c r="AT2" s="7" t="s">
        <v>62</v>
      </c>
      <c r="AU2" s="7"/>
      <c r="AV2" s="7"/>
    </row>
    <row r="3" customFormat="false" ht="15" hidden="false" customHeight="false" outlineLevel="0" collapsed="false">
      <c r="A3" s="12" t="s">
        <v>63</v>
      </c>
      <c r="B3" s="13" t="s">
        <v>64</v>
      </c>
      <c r="C3" s="12" t="s">
        <v>50</v>
      </c>
      <c r="D3" s="14" t="n">
        <v>37001</v>
      </c>
      <c r="E3" s="12" t="n">
        <f aca="false">DATEDIF(D3,'Chú giải'!$B$3,"Y")</f>
        <v>25</v>
      </c>
      <c r="F3" s="13" t="s">
        <v>65</v>
      </c>
      <c r="G3" s="13" t="s">
        <v>66</v>
      </c>
      <c r="H3" s="15" t="s">
        <v>67</v>
      </c>
      <c r="I3" s="13" t="s">
        <v>68</v>
      </c>
      <c r="J3" s="13" t="s">
        <v>69</v>
      </c>
      <c r="K3" s="13" t="s">
        <v>70</v>
      </c>
      <c r="L3" s="13" t="s">
        <v>71</v>
      </c>
      <c r="M3" s="12" t="s">
        <v>72</v>
      </c>
      <c r="N3" s="12" t="s">
        <v>60</v>
      </c>
      <c r="O3" s="12" t="s">
        <v>60</v>
      </c>
      <c r="P3" s="12" t="n">
        <v>6</v>
      </c>
      <c r="Q3" s="16" t="n">
        <v>3</v>
      </c>
      <c r="R3" s="16" t="n">
        <v>3.5</v>
      </c>
      <c r="S3" s="13"/>
      <c r="T3" s="14" t="n">
        <v>46327</v>
      </c>
      <c r="U3" s="12" t="n">
        <v>6</v>
      </c>
      <c r="V3" s="12" t="n">
        <v>3</v>
      </c>
      <c r="W3" s="12" t="n">
        <v>2</v>
      </c>
      <c r="X3" s="12" t="n">
        <v>1</v>
      </c>
      <c r="Y3" s="12" t="n">
        <v>2</v>
      </c>
      <c r="Z3" s="12" t="n">
        <v>2</v>
      </c>
      <c r="AA3" s="12" t="n">
        <v>2</v>
      </c>
      <c r="AB3" s="12" t="n">
        <v>2</v>
      </c>
      <c r="AC3" s="12" t="n">
        <v>1</v>
      </c>
      <c r="AD3" s="12" t="n">
        <v>2</v>
      </c>
      <c r="AE3" s="12" t="n">
        <v>1</v>
      </c>
      <c r="AF3" s="12" t="n">
        <v>1</v>
      </c>
      <c r="AG3" s="12" t="n">
        <v>1</v>
      </c>
      <c r="AH3" s="12" t="n">
        <v>2</v>
      </c>
      <c r="AI3" s="12" t="n">
        <v>2</v>
      </c>
      <c r="AJ3" s="12" t="n">
        <v>2</v>
      </c>
      <c r="AK3" s="12" t="n">
        <v>2</v>
      </c>
      <c r="AL3" s="12" t="n">
        <v>1</v>
      </c>
      <c r="AM3" s="12"/>
      <c r="AN3" s="12" t="n">
        <v>0</v>
      </c>
      <c r="AO3" s="12"/>
      <c r="AP3" s="12"/>
      <c r="AQ3" s="12" t="n">
        <v>0</v>
      </c>
      <c r="AR3" s="12"/>
      <c r="AS3" s="12" t="n">
        <v>0</v>
      </c>
      <c r="AT3" s="12" t="s">
        <v>73</v>
      </c>
      <c r="AU3" s="12" t="s">
        <v>74</v>
      </c>
      <c r="AV3" s="12" t="s">
        <v>75</v>
      </c>
    </row>
    <row r="4" customFormat="false" ht="15" hidden="false" customHeight="false" outlineLevel="0" collapsed="false">
      <c r="A4" s="7" t="s">
        <v>76</v>
      </c>
      <c r="B4" s="8" t="s">
        <v>77</v>
      </c>
      <c r="C4" s="7" t="s">
        <v>78</v>
      </c>
      <c r="D4" s="9" t="n">
        <v>38155</v>
      </c>
      <c r="E4" s="7" t="n">
        <f aca="false">DATEDIF(D4,'Chú giải'!$B$3,"Y")</f>
        <v>22</v>
      </c>
      <c r="F4" s="8" t="s">
        <v>79</v>
      </c>
      <c r="G4" s="8" t="s">
        <v>52</v>
      </c>
      <c r="H4" s="10" t="s">
        <v>80</v>
      </c>
      <c r="I4" s="8" t="s">
        <v>81</v>
      </c>
      <c r="J4" s="8" t="s">
        <v>82</v>
      </c>
      <c r="K4" s="8" t="s">
        <v>83</v>
      </c>
      <c r="L4" s="8" t="s">
        <v>57</v>
      </c>
      <c r="M4" s="7" t="s">
        <v>84</v>
      </c>
      <c r="N4" s="7" t="s">
        <v>59</v>
      </c>
      <c r="O4" s="7" t="s">
        <v>60</v>
      </c>
      <c r="P4" s="7" t="n">
        <v>6</v>
      </c>
      <c r="Q4" s="11" t="n">
        <v>1.5</v>
      </c>
      <c r="R4" s="11" t="n">
        <v>2</v>
      </c>
      <c r="S4" s="8" t="s">
        <v>85</v>
      </c>
      <c r="T4" s="9" t="n">
        <v>46366</v>
      </c>
      <c r="U4" s="7" t="n">
        <v>9</v>
      </c>
      <c r="V4" s="7" t="n">
        <v>3</v>
      </c>
      <c r="W4" s="7" t="n">
        <v>3</v>
      </c>
      <c r="X4" s="7" t="n">
        <v>1</v>
      </c>
      <c r="Y4" s="7" t="n">
        <v>2</v>
      </c>
      <c r="Z4" s="7" t="n">
        <v>1</v>
      </c>
      <c r="AA4" s="7" t="n">
        <v>2</v>
      </c>
      <c r="AB4" s="7"/>
      <c r="AC4" s="7"/>
      <c r="AD4" s="7"/>
      <c r="AE4" s="7" t="n">
        <v>1</v>
      </c>
      <c r="AF4" s="7" t="n">
        <v>1</v>
      </c>
      <c r="AG4" s="7" t="n">
        <v>1</v>
      </c>
      <c r="AH4" s="7" t="n">
        <v>4</v>
      </c>
      <c r="AI4" s="7" t="n">
        <v>2</v>
      </c>
      <c r="AJ4" s="7" t="n">
        <v>1</v>
      </c>
      <c r="AK4" s="7" t="n">
        <v>1</v>
      </c>
      <c r="AL4" s="7" t="n">
        <v>1</v>
      </c>
      <c r="AM4" s="7" t="n">
        <v>69</v>
      </c>
      <c r="AN4" s="7" t="n">
        <v>3</v>
      </c>
      <c r="AO4" s="7" t="n">
        <v>41</v>
      </c>
      <c r="AP4" s="7" t="n">
        <v>3.6</v>
      </c>
      <c r="AQ4" s="7" t="n">
        <v>0</v>
      </c>
      <c r="AR4" s="7"/>
      <c r="AS4" s="7" t="n">
        <v>0</v>
      </c>
      <c r="AT4" s="7" t="s">
        <v>86</v>
      </c>
      <c r="AU4" s="7"/>
      <c r="AV4" s="7" t="s">
        <v>87</v>
      </c>
    </row>
    <row r="5" customFormat="false" ht="15" hidden="false" customHeight="false" outlineLevel="0" collapsed="false">
      <c r="A5" s="12" t="s">
        <v>88</v>
      </c>
      <c r="B5" s="13" t="s">
        <v>89</v>
      </c>
      <c r="C5" s="12" t="s">
        <v>78</v>
      </c>
      <c r="D5" s="14" t="n">
        <v>36984</v>
      </c>
      <c r="E5" s="12" t="n">
        <f aca="false">DATEDIF(D5,'Chú giải'!$B$3,"Y")</f>
        <v>25</v>
      </c>
      <c r="F5" s="13" t="s">
        <v>65</v>
      </c>
      <c r="G5" s="13" t="s">
        <v>66</v>
      </c>
      <c r="H5" s="15" t="s">
        <v>90</v>
      </c>
      <c r="I5" s="13" t="s">
        <v>91</v>
      </c>
      <c r="J5" s="13" t="s">
        <v>92</v>
      </c>
      <c r="K5" s="13" t="s">
        <v>93</v>
      </c>
      <c r="L5" s="13" t="s">
        <v>94</v>
      </c>
      <c r="M5" s="12" t="s">
        <v>72</v>
      </c>
      <c r="N5" s="12" t="s">
        <v>60</v>
      </c>
      <c r="O5" s="12" t="s">
        <v>60</v>
      </c>
      <c r="P5" s="12" t="n">
        <v>6</v>
      </c>
      <c r="Q5" s="16" t="n">
        <v>3</v>
      </c>
      <c r="R5" s="16" t="n">
        <v>3.5</v>
      </c>
      <c r="S5" s="13"/>
      <c r="T5" s="14" t="n">
        <v>46327</v>
      </c>
      <c r="U5" s="12" t="n">
        <v>6</v>
      </c>
      <c r="V5" s="12" t="n">
        <v>3</v>
      </c>
      <c r="W5" s="12" t="n">
        <v>2</v>
      </c>
      <c r="X5" s="12" t="n">
        <v>1</v>
      </c>
      <c r="Y5" s="12" t="n">
        <v>2</v>
      </c>
      <c r="Z5" s="12" t="n">
        <v>2</v>
      </c>
      <c r="AA5" s="12" t="n">
        <v>2</v>
      </c>
      <c r="AB5" s="12" t="n">
        <v>2</v>
      </c>
      <c r="AC5" s="12" t="n">
        <v>1</v>
      </c>
      <c r="AD5" s="12" t="n">
        <v>2</v>
      </c>
      <c r="AE5" s="12" t="n">
        <v>1</v>
      </c>
      <c r="AF5" s="12" t="n">
        <v>1</v>
      </c>
      <c r="AG5" s="12" t="n">
        <v>1</v>
      </c>
      <c r="AH5" s="12" t="n">
        <v>2</v>
      </c>
      <c r="AI5" s="12" t="n">
        <v>2</v>
      </c>
      <c r="AJ5" s="12" t="n">
        <v>2</v>
      </c>
      <c r="AK5" s="12" t="n">
        <v>2</v>
      </c>
      <c r="AL5" s="12" t="n">
        <v>1</v>
      </c>
      <c r="AM5" s="12"/>
      <c r="AN5" s="12" t="n">
        <v>0</v>
      </c>
      <c r="AO5" s="12"/>
      <c r="AP5" s="12"/>
      <c r="AQ5" s="12" t="n">
        <v>0</v>
      </c>
      <c r="AR5" s="12"/>
      <c r="AS5" s="12" t="n">
        <v>0</v>
      </c>
      <c r="AT5" s="12" t="s">
        <v>73</v>
      </c>
      <c r="AU5" s="12" t="s">
        <v>95</v>
      </c>
      <c r="AV5" s="12" t="s">
        <v>96</v>
      </c>
    </row>
    <row r="6" customFormat="false" ht="15" hidden="false" customHeight="false" outlineLevel="0" collapsed="false">
      <c r="A6" s="12" t="s">
        <v>97</v>
      </c>
      <c r="B6" s="13" t="s">
        <v>98</v>
      </c>
      <c r="C6" s="12" t="s">
        <v>50</v>
      </c>
      <c r="D6" s="14" t="n">
        <v>37693</v>
      </c>
      <c r="E6" s="12" t="n">
        <f aca="false">DATEDIF(D6,'Chú giải'!$B$3,"Y")</f>
        <v>23</v>
      </c>
      <c r="F6" s="13" t="s">
        <v>65</v>
      </c>
      <c r="G6" s="13" t="s">
        <v>99</v>
      </c>
      <c r="H6" s="15" t="s">
        <v>100</v>
      </c>
      <c r="I6" s="13" t="s">
        <v>101</v>
      </c>
      <c r="J6" s="13" t="s">
        <v>102</v>
      </c>
      <c r="K6" s="13" t="s">
        <v>103</v>
      </c>
      <c r="L6" s="13" t="s">
        <v>104</v>
      </c>
      <c r="M6" s="12" t="s">
        <v>72</v>
      </c>
      <c r="N6" s="12" t="s">
        <v>60</v>
      </c>
      <c r="O6" s="12" t="s">
        <v>60</v>
      </c>
      <c r="P6" s="12" t="n">
        <v>6</v>
      </c>
      <c r="Q6" s="16" t="n">
        <v>3</v>
      </c>
      <c r="R6" s="16" t="n">
        <v>3.5</v>
      </c>
      <c r="S6" s="13"/>
      <c r="T6" s="14" t="n">
        <v>46327</v>
      </c>
      <c r="U6" s="12" t="n">
        <v>6</v>
      </c>
      <c r="V6" s="12" t="n">
        <v>3</v>
      </c>
      <c r="W6" s="12" t="n">
        <v>2</v>
      </c>
      <c r="X6" s="12" t="n">
        <v>1</v>
      </c>
      <c r="Y6" s="12" t="n">
        <v>2</v>
      </c>
      <c r="Z6" s="12" t="n">
        <v>2</v>
      </c>
      <c r="AA6" s="12" t="n">
        <v>1</v>
      </c>
      <c r="AB6" s="12" t="n">
        <v>2</v>
      </c>
      <c r="AC6" s="12" t="n">
        <v>1</v>
      </c>
      <c r="AD6" s="12" t="n">
        <v>2</v>
      </c>
      <c r="AE6" s="12" t="n">
        <v>1</v>
      </c>
      <c r="AF6" s="12" t="n">
        <v>1</v>
      </c>
      <c r="AG6" s="12" t="n">
        <v>1</v>
      </c>
      <c r="AH6" s="12" t="n">
        <v>2</v>
      </c>
      <c r="AI6" s="12" t="n">
        <v>2</v>
      </c>
      <c r="AJ6" s="12" t="n">
        <v>4</v>
      </c>
      <c r="AK6" s="12" t="n">
        <v>2</v>
      </c>
      <c r="AL6" s="12" t="n">
        <v>1</v>
      </c>
      <c r="AM6" s="12"/>
      <c r="AN6" s="12" t="n">
        <v>0</v>
      </c>
      <c r="AO6" s="12"/>
      <c r="AP6" s="12"/>
      <c r="AQ6" s="12" t="n">
        <v>0</v>
      </c>
      <c r="AR6" s="12"/>
      <c r="AS6" s="12" t="n">
        <v>0</v>
      </c>
      <c r="AT6" s="12" t="s">
        <v>73</v>
      </c>
      <c r="AU6" s="12" t="s">
        <v>105</v>
      </c>
      <c r="AV6" s="12" t="s">
        <v>106</v>
      </c>
    </row>
    <row r="7" customFormat="false" ht="15" hidden="false" customHeight="false" outlineLevel="0" collapsed="false">
      <c r="A7" s="12" t="s">
        <v>107</v>
      </c>
      <c r="B7" s="13" t="s">
        <v>108</v>
      </c>
      <c r="C7" s="12" t="s">
        <v>50</v>
      </c>
      <c r="D7" s="14" t="n">
        <v>37057</v>
      </c>
      <c r="E7" s="12" t="n">
        <f aca="false">DATEDIF(D7,'Chú giải'!$B$3,"Y")</f>
        <v>25</v>
      </c>
      <c r="F7" s="13" t="s">
        <v>65</v>
      </c>
      <c r="G7" s="13" t="s">
        <v>66</v>
      </c>
      <c r="H7" s="15" t="s">
        <v>109</v>
      </c>
      <c r="I7" s="13" t="s">
        <v>110</v>
      </c>
      <c r="J7" s="13" t="s">
        <v>111</v>
      </c>
      <c r="K7" s="13" t="s">
        <v>112</v>
      </c>
      <c r="L7" s="13" t="s">
        <v>113</v>
      </c>
      <c r="M7" s="12" t="s">
        <v>72</v>
      </c>
      <c r="N7" s="12" t="s">
        <v>60</v>
      </c>
      <c r="O7" s="12" t="s">
        <v>60</v>
      </c>
      <c r="P7" s="12" t="n">
        <v>6</v>
      </c>
      <c r="Q7" s="16" t="n">
        <v>3</v>
      </c>
      <c r="R7" s="16" t="n">
        <v>3.5</v>
      </c>
      <c r="S7" s="13"/>
      <c r="T7" s="14" t="n">
        <v>46327</v>
      </c>
      <c r="U7" s="12" t="n">
        <v>6</v>
      </c>
      <c r="V7" s="12" t="n">
        <v>3</v>
      </c>
      <c r="W7" s="12" t="n">
        <v>2</v>
      </c>
      <c r="X7" s="12" t="n">
        <v>1</v>
      </c>
      <c r="Y7" s="12" t="n">
        <v>2</v>
      </c>
      <c r="Z7" s="12" t="n">
        <v>2</v>
      </c>
      <c r="AA7" s="12" t="n">
        <v>2</v>
      </c>
      <c r="AB7" s="12" t="n">
        <v>1</v>
      </c>
      <c r="AC7" s="12" t="n">
        <v>1</v>
      </c>
      <c r="AD7" s="12" t="n">
        <v>2</v>
      </c>
      <c r="AE7" s="12" t="n">
        <v>1</v>
      </c>
      <c r="AF7" s="12" t="n">
        <v>1</v>
      </c>
      <c r="AG7" s="12" t="n">
        <v>1</v>
      </c>
      <c r="AH7" s="12" t="n">
        <v>2</v>
      </c>
      <c r="AI7" s="12" t="n">
        <v>2</v>
      </c>
      <c r="AJ7" s="12" t="n">
        <v>2</v>
      </c>
      <c r="AK7" s="12" t="n">
        <v>3</v>
      </c>
      <c r="AL7" s="12" t="n">
        <v>1</v>
      </c>
      <c r="AM7" s="12"/>
      <c r="AN7" s="12" t="n">
        <v>0</v>
      </c>
      <c r="AO7" s="12"/>
      <c r="AP7" s="12"/>
      <c r="AQ7" s="12" t="n">
        <v>0</v>
      </c>
      <c r="AR7" s="12"/>
      <c r="AS7" s="12" t="n">
        <v>0</v>
      </c>
      <c r="AT7" s="12" t="s">
        <v>73</v>
      </c>
      <c r="AU7" s="12" t="s">
        <v>114</v>
      </c>
      <c r="AV7" s="12" t="s">
        <v>115</v>
      </c>
    </row>
    <row r="8" customFormat="false" ht="15" hidden="false" customHeight="false" outlineLevel="0" collapsed="false">
      <c r="A8" s="7" t="s">
        <v>116</v>
      </c>
      <c r="B8" s="8" t="s">
        <v>117</v>
      </c>
      <c r="C8" s="7" t="s">
        <v>50</v>
      </c>
      <c r="D8" s="9" t="n">
        <v>37718</v>
      </c>
      <c r="E8" s="7" t="n">
        <f aca="false">DATEDIF(D8,'Chú giải'!$B$3,"Y")</f>
        <v>23</v>
      </c>
      <c r="F8" s="8" t="s">
        <v>79</v>
      </c>
      <c r="G8" s="8" t="s">
        <v>118</v>
      </c>
      <c r="H8" s="10" t="s">
        <v>119</v>
      </c>
      <c r="I8" s="8" t="s">
        <v>120</v>
      </c>
      <c r="J8" s="8" t="s">
        <v>121</v>
      </c>
      <c r="K8" s="8" t="s">
        <v>122</v>
      </c>
      <c r="L8" s="8" t="s">
        <v>71</v>
      </c>
      <c r="M8" s="7" t="s">
        <v>84</v>
      </c>
      <c r="N8" s="7" t="s">
        <v>60</v>
      </c>
      <c r="O8" s="7" t="s">
        <v>60</v>
      </c>
      <c r="P8" s="7" t="n">
        <v>4</v>
      </c>
      <c r="Q8" s="11" t="n">
        <v>2.5</v>
      </c>
      <c r="R8" s="11" t="n">
        <v>4</v>
      </c>
      <c r="S8" s="8"/>
      <c r="T8" s="9" t="n">
        <v>46339</v>
      </c>
      <c r="U8" s="7" t="n">
        <v>9</v>
      </c>
      <c r="V8" s="7" t="n">
        <v>3</v>
      </c>
      <c r="W8" s="7" t="n">
        <v>3</v>
      </c>
      <c r="X8" s="7" t="n">
        <v>1</v>
      </c>
      <c r="Y8" s="7" t="n">
        <v>2</v>
      </c>
      <c r="Z8" s="7" t="n">
        <v>3</v>
      </c>
      <c r="AA8" s="7" t="n">
        <v>1</v>
      </c>
      <c r="AB8" s="7" t="n">
        <v>1</v>
      </c>
      <c r="AC8" s="7" t="n">
        <v>1</v>
      </c>
      <c r="AD8" s="7" t="n">
        <v>2</v>
      </c>
      <c r="AE8" s="7" t="n">
        <v>1</v>
      </c>
      <c r="AF8" s="7" t="n">
        <v>1</v>
      </c>
      <c r="AG8" s="7" t="n">
        <v>3</v>
      </c>
      <c r="AH8" s="7" t="n">
        <v>4</v>
      </c>
      <c r="AI8" s="7" t="n">
        <v>2</v>
      </c>
      <c r="AJ8" s="7" t="n">
        <v>2</v>
      </c>
      <c r="AK8" s="7" t="n">
        <v>1</v>
      </c>
      <c r="AL8" s="7" t="n">
        <v>2</v>
      </c>
      <c r="AM8" s="7"/>
      <c r="AN8" s="7" t="n">
        <v>0</v>
      </c>
      <c r="AO8" s="7"/>
      <c r="AP8" s="7"/>
      <c r="AQ8" s="7" t="n">
        <v>0</v>
      </c>
      <c r="AR8" s="7"/>
      <c r="AS8" s="7" t="n">
        <v>0</v>
      </c>
      <c r="AT8" s="7" t="s">
        <v>62</v>
      </c>
      <c r="AU8" s="7"/>
      <c r="AV8" s="7"/>
    </row>
    <row r="9" customFormat="false" ht="15" hidden="false" customHeight="false" outlineLevel="0" collapsed="false">
      <c r="A9" s="12" t="s">
        <v>123</v>
      </c>
      <c r="B9" s="13" t="s">
        <v>124</v>
      </c>
      <c r="C9" s="12" t="s">
        <v>78</v>
      </c>
      <c r="D9" s="14" t="n">
        <v>37045</v>
      </c>
      <c r="E9" s="12" t="n">
        <f aca="false">DATEDIF(D9,'Chú giải'!$B$3,"Y")</f>
        <v>25</v>
      </c>
      <c r="F9" s="13" t="s">
        <v>65</v>
      </c>
      <c r="G9" s="13" t="s">
        <v>66</v>
      </c>
      <c r="H9" s="15" t="s">
        <v>125</v>
      </c>
      <c r="I9" s="13" t="s">
        <v>126</v>
      </c>
      <c r="J9" s="13" t="s">
        <v>127</v>
      </c>
      <c r="K9" s="13" t="s">
        <v>128</v>
      </c>
      <c r="L9" s="13" t="s">
        <v>129</v>
      </c>
      <c r="M9" s="12" t="s">
        <v>72</v>
      </c>
      <c r="N9" s="12" t="s">
        <v>60</v>
      </c>
      <c r="O9" s="12" t="s">
        <v>60</v>
      </c>
      <c r="P9" s="12" t="n">
        <v>6</v>
      </c>
      <c r="Q9" s="16" t="n">
        <v>3</v>
      </c>
      <c r="R9" s="16" t="n">
        <v>3.5</v>
      </c>
      <c r="S9" s="13"/>
      <c r="T9" s="14" t="n">
        <v>46348</v>
      </c>
      <c r="U9" s="12" t="n">
        <v>6</v>
      </c>
      <c r="V9" s="12" t="n">
        <v>3</v>
      </c>
      <c r="W9" s="12" t="n">
        <v>2</v>
      </c>
      <c r="X9" s="12" t="n">
        <v>1</v>
      </c>
      <c r="Y9" s="12" t="n">
        <v>2</v>
      </c>
      <c r="Z9" s="12" t="n">
        <v>2</v>
      </c>
      <c r="AA9" s="12" t="n">
        <v>2</v>
      </c>
      <c r="AB9" s="12" t="n">
        <v>2</v>
      </c>
      <c r="AC9" s="12" t="n">
        <v>1</v>
      </c>
      <c r="AD9" s="12" t="n">
        <v>2</v>
      </c>
      <c r="AE9" s="12" t="n">
        <v>1</v>
      </c>
      <c r="AF9" s="12" t="n">
        <v>1</v>
      </c>
      <c r="AG9" s="12" t="n">
        <v>1</v>
      </c>
      <c r="AH9" s="12" t="n">
        <v>2</v>
      </c>
      <c r="AI9" s="12" t="n">
        <v>2</v>
      </c>
      <c r="AJ9" s="12" t="n">
        <v>2</v>
      </c>
      <c r="AK9" s="12" t="n">
        <v>2</v>
      </c>
      <c r="AL9" s="12" t="n">
        <v>1</v>
      </c>
      <c r="AM9" s="12"/>
      <c r="AN9" s="12" t="n">
        <v>0</v>
      </c>
      <c r="AO9" s="12"/>
      <c r="AP9" s="12"/>
      <c r="AQ9" s="12" t="n">
        <v>0</v>
      </c>
      <c r="AR9" s="12"/>
      <c r="AS9" s="12" t="n">
        <v>0</v>
      </c>
      <c r="AT9" s="12" t="s">
        <v>73</v>
      </c>
      <c r="AU9" s="12" t="s">
        <v>130</v>
      </c>
      <c r="AV9" s="12" t="s">
        <v>131</v>
      </c>
    </row>
    <row r="10" customFormat="false" ht="15" hidden="false" customHeight="false" outlineLevel="0" collapsed="false">
      <c r="A10" s="12" t="s">
        <v>132</v>
      </c>
      <c r="B10" s="13" t="s">
        <v>133</v>
      </c>
      <c r="C10" s="12" t="s">
        <v>50</v>
      </c>
      <c r="D10" s="14" t="n">
        <v>36930</v>
      </c>
      <c r="E10" s="12" t="n">
        <f aca="false">DATEDIF(D10,'Chú giải'!$B$3,"Y")</f>
        <v>25</v>
      </c>
      <c r="F10" s="13" t="s">
        <v>65</v>
      </c>
      <c r="G10" s="13" t="s">
        <v>66</v>
      </c>
      <c r="H10" s="15" t="s">
        <v>134</v>
      </c>
      <c r="I10" s="13" t="s">
        <v>135</v>
      </c>
      <c r="J10" s="13" t="s">
        <v>136</v>
      </c>
      <c r="K10" s="13" t="s">
        <v>137</v>
      </c>
      <c r="L10" s="13" t="s">
        <v>138</v>
      </c>
      <c r="M10" s="12" t="s">
        <v>58</v>
      </c>
      <c r="N10" s="12" t="s">
        <v>60</v>
      </c>
      <c r="O10" s="12" t="s">
        <v>59</v>
      </c>
      <c r="P10" s="12" t="n">
        <v>6</v>
      </c>
      <c r="Q10" s="16" t="n">
        <v>3</v>
      </c>
      <c r="R10" s="16" t="n">
        <v>3.5</v>
      </c>
      <c r="S10" s="13"/>
      <c r="T10" s="14" t="n">
        <v>46327</v>
      </c>
      <c r="U10" s="12" t="n">
        <v>6</v>
      </c>
      <c r="V10" s="12" t="n">
        <v>3</v>
      </c>
      <c r="W10" s="12" t="n">
        <v>2</v>
      </c>
      <c r="X10" s="12" t="n">
        <v>1</v>
      </c>
      <c r="Y10" s="12" t="n">
        <v>2</v>
      </c>
      <c r="Z10" s="12" t="n">
        <v>2</v>
      </c>
      <c r="AA10" s="12" t="n">
        <v>2</v>
      </c>
      <c r="AB10" s="12" t="n">
        <v>2</v>
      </c>
      <c r="AC10" s="12" t="n">
        <v>1</v>
      </c>
      <c r="AD10" s="12" t="n">
        <v>2</v>
      </c>
      <c r="AE10" s="12" t="n">
        <v>1</v>
      </c>
      <c r="AF10" s="12" t="n">
        <v>1</v>
      </c>
      <c r="AG10" s="12" t="n">
        <v>1</v>
      </c>
      <c r="AH10" s="12" t="n">
        <v>2</v>
      </c>
      <c r="AI10" s="12" t="n">
        <v>2</v>
      </c>
      <c r="AJ10" s="12" t="n">
        <v>2</v>
      </c>
      <c r="AK10" s="12" t="n">
        <v>2</v>
      </c>
      <c r="AL10" s="12" t="n">
        <v>1</v>
      </c>
      <c r="AM10" s="12"/>
      <c r="AN10" s="12" t="n">
        <v>0</v>
      </c>
      <c r="AO10" s="12"/>
      <c r="AP10" s="12"/>
      <c r="AQ10" s="12" t="n">
        <v>0</v>
      </c>
      <c r="AR10" s="12"/>
      <c r="AS10" s="12" t="n">
        <v>0</v>
      </c>
      <c r="AT10" s="12" t="s">
        <v>73</v>
      </c>
      <c r="AU10" s="12" t="s">
        <v>139</v>
      </c>
      <c r="AV10" s="12" t="s">
        <v>140</v>
      </c>
    </row>
    <row r="11" customFormat="false" ht="15" hidden="false" customHeight="false" outlineLevel="0" collapsed="false">
      <c r="A11" s="7" t="s">
        <v>141</v>
      </c>
      <c r="B11" s="8" t="s">
        <v>142</v>
      </c>
      <c r="C11" s="7" t="s">
        <v>78</v>
      </c>
      <c r="D11" s="9" t="n">
        <v>36324</v>
      </c>
      <c r="E11" s="7" t="n">
        <f aca="false">DATEDIF(D11,'Chú giải'!$B$3,"Y")</f>
        <v>27</v>
      </c>
      <c r="F11" s="8" t="s">
        <v>143</v>
      </c>
      <c r="G11" s="8" t="s">
        <v>144</v>
      </c>
      <c r="H11" s="10" t="s">
        <v>145</v>
      </c>
      <c r="I11" s="8" t="s">
        <v>146</v>
      </c>
      <c r="J11" s="8" t="s">
        <v>147</v>
      </c>
      <c r="K11" s="8" t="s">
        <v>148</v>
      </c>
      <c r="L11" s="8" t="s">
        <v>149</v>
      </c>
      <c r="M11" s="7" t="s">
        <v>72</v>
      </c>
      <c r="N11" s="7" t="s">
        <v>59</v>
      </c>
      <c r="O11" s="7" t="s">
        <v>60</v>
      </c>
      <c r="P11" s="7" t="n">
        <v>6</v>
      </c>
      <c r="Q11" s="11" t="n">
        <v>4</v>
      </c>
      <c r="R11" s="11" t="n">
        <v>4</v>
      </c>
      <c r="S11" s="8" t="s">
        <v>61</v>
      </c>
      <c r="T11" s="9" t="n">
        <v>46363</v>
      </c>
      <c r="U11" s="7" t="n">
        <v>6</v>
      </c>
      <c r="V11" s="7" t="n">
        <v>3</v>
      </c>
      <c r="W11" s="7" t="n">
        <v>2</v>
      </c>
      <c r="X11" s="7" t="n">
        <v>3</v>
      </c>
      <c r="Y11" s="7" t="n">
        <v>1</v>
      </c>
      <c r="Z11" s="7" t="n">
        <v>2</v>
      </c>
      <c r="AA11" s="7" t="n">
        <v>1</v>
      </c>
      <c r="AB11" s="7" t="n">
        <v>3</v>
      </c>
      <c r="AC11" s="7" t="n">
        <v>2</v>
      </c>
      <c r="AD11" s="7" t="n">
        <v>2</v>
      </c>
      <c r="AE11" s="7" t="n">
        <v>2</v>
      </c>
      <c r="AF11" s="7" t="n">
        <v>1</v>
      </c>
      <c r="AG11" s="7" t="n">
        <v>1</v>
      </c>
      <c r="AH11" s="7" t="n">
        <v>2</v>
      </c>
      <c r="AI11" s="7" t="n">
        <v>2</v>
      </c>
      <c r="AJ11" s="7" t="n">
        <v>2</v>
      </c>
      <c r="AK11" s="7" t="n">
        <v>2</v>
      </c>
      <c r="AL11" s="7" t="n">
        <v>1</v>
      </c>
      <c r="AM11" s="7" t="n">
        <v>86</v>
      </c>
      <c r="AN11" s="7" t="n">
        <v>7</v>
      </c>
      <c r="AO11" s="7" t="n">
        <v>48</v>
      </c>
      <c r="AP11" s="7" t="n">
        <v>3</v>
      </c>
      <c r="AQ11" s="7" t="n">
        <v>0</v>
      </c>
      <c r="AR11" s="7"/>
      <c r="AS11" s="7" t="n">
        <v>0</v>
      </c>
      <c r="AT11" s="7" t="s">
        <v>62</v>
      </c>
      <c r="AU11" s="7"/>
      <c r="AV11" s="7"/>
    </row>
    <row r="12" customFormat="false" ht="15" hidden="false" customHeight="false" outlineLevel="0" collapsed="false">
      <c r="A12" s="12" t="s">
        <v>150</v>
      </c>
      <c r="B12" s="13" t="s">
        <v>151</v>
      </c>
      <c r="C12" s="12" t="s">
        <v>50</v>
      </c>
      <c r="D12" s="14" t="n">
        <v>37775</v>
      </c>
      <c r="E12" s="12" t="n">
        <f aca="false">DATEDIF(D12,'Chú giải'!$B$3,"Y")</f>
        <v>23</v>
      </c>
      <c r="F12" s="13" t="s">
        <v>65</v>
      </c>
      <c r="G12" s="13" t="s">
        <v>66</v>
      </c>
      <c r="H12" s="15" t="s">
        <v>152</v>
      </c>
      <c r="I12" s="13" t="s">
        <v>153</v>
      </c>
      <c r="J12" s="13" t="s">
        <v>154</v>
      </c>
      <c r="K12" s="13" t="s">
        <v>93</v>
      </c>
      <c r="L12" s="13" t="s">
        <v>94</v>
      </c>
      <c r="M12" s="12" t="s">
        <v>84</v>
      </c>
      <c r="N12" s="12" t="s">
        <v>59</v>
      </c>
      <c r="O12" s="12" t="s">
        <v>60</v>
      </c>
      <c r="P12" s="12" t="n">
        <v>6</v>
      </c>
      <c r="Q12" s="16" t="n">
        <v>3</v>
      </c>
      <c r="R12" s="16" t="n">
        <v>3.5</v>
      </c>
      <c r="S12" s="13"/>
      <c r="T12" s="14" t="n">
        <v>46327</v>
      </c>
      <c r="U12" s="12" t="n">
        <v>6</v>
      </c>
      <c r="V12" s="12" t="n">
        <v>3</v>
      </c>
      <c r="W12" s="12" t="n">
        <v>2</v>
      </c>
      <c r="X12" s="12" t="n">
        <v>1</v>
      </c>
      <c r="Y12" s="12" t="n">
        <v>2</v>
      </c>
      <c r="Z12" s="12" t="n">
        <v>2</v>
      </c>
      <c r="AA12" s="12" t="n">
        <v>2</v>
      </c>
      <c r="AB12" s="12" t="n">
        <v>2</v>
      </c>
      <c r="AC12" s="12" t="n">
        <v>1</v>
      </c>
      <c r="AD12" s="12" t="n">
        <v>2</v>
      </c>
      <c r="AE12" s="12" t="n">
        <v>1</v>
      </c>
      <c r="AF12" s="12" t="n">
        <v>1</v>
      </c>
      <c r="AG12" s="12" t="n">
        <v>1</v>
      </c>
      <c r="AH12" s="12" t="n">
        <v>2</v>
      </c>
      <c r="AI12" s="12" t="n">
        <v>2</v>
      </c>
      <c r="AJ12" s="12" t="n">
        <v>2</v>
      </c>
      <c r="AK12" s="12" t="n">
        <v>2</v>
      </c>
      <c r="AL12" s="12" t="n">
        <v>1</v>
      </c>
      <c r="AM12" s="12" t="n">
        <v>95</v>
      </c>
      <c r="AN12" s="12" t="n">
        <v>6</v>
      </c>
      <c r="AO12" s="12" t="n">
        <v>90</v>
      </c>
      <c r="AP12" s="12" t="n">
        <v>4.5</v>
      </c>
      <c r="AQ12" s="12" t="n">
        <v>3</v>
      </c>
      <c r="AR12" s="12" t="n">
        <v>4.8</v>
      </c>
      <c r="AS12" s="12" t="n">
        <v>0</v>
      </c>
      <c r="AT12" s="12" t="s">
        <v>73</v>
      </c>
      <c r="AU12" s="12" t="s">
        <v>155</v>
      </c>
      <c r="AV12" s="12" t="s">
        <v>156</v>
      </c>
    </row>
    <row r="13" customFormat="false" ht="15" hidden="false" customHeight="false" outlineLevel="0" collapsed="false">
      <c r="A13" s="7" t="s">
        <v>157</v>
      </c>
      <c r="B13" s="8" t="s">
        <v>158</v>
      </c>
      <c r="C13" s="7" t="s">
        <v>78</v>
      </c>
      <c r="D13" s="9" t="n">
        <v>36557</v>
      </c>
      <c r="E13" s="7" t="n">
        <f aca="false">DATEDIF(D13,'Chú giải'!$B$3,"Y")</f>
        <v>26</v>
      </c>
      <c r="F13" s="8" t="s">
        <v>159</v>
      </c>
      <c r="G13" s="8" t="s">
        <v>160</v>
      </c>
      <c r="H13" s="10" t="s">
        <v>161</v>
      </c>
      <c r="I13" s="8" t="s">
        <v>162</v>
      </c>
      <c r="J13" s="8" t="s">
        <v>163</v>
      </c>
      <c r="K13" s="8" t="s">
        <v>164</v>
      </c>
      <c r="L13" s="8" t="s">
        <v>138</v>
      </c>
      <c r="M13" s="7" t="s">
        <v>72</v>
      </c>
      <c r="N13" s="7" t="s">
        <v>59</v>
      </c>
      <c r="O13" s="7" t="s">
        <v>59</v>
      </c>
      <c r="P13" s="7" t="n">
        <v>5</v>
      </c>
      <c r="Q13" s="11" t="n">
        <v>3</v>
      </c>
      <c r="R13" s="11" t="n">
        <v>4</v>
      </c>
      <c r="S13" s="8"/>
      <c r="T13" s="9" t="n">
        <v>46364</v>
      </c>
      <c r="U13" s="7" t="n">
        <v>6</v>
      </c>
      <c r="V13" s="7" t="n">
        <v>6</v>
      </c>
      <c r="W13" s="7" t="n">
        <v>1</v>
      </c>
      <c r="X13" s="7" t="n">
        <v>1</v>
      </c>
      <c r="Y13" s="7" t="n">
        <v>1</v>
      </c>
      <c r="Z13" s="7" t="n">
        <v>1</v>
      </c>
      <c r="AA13" s="7" t="n">
        <v>3</v>
      </c>
      <c r="AB13" s="7" t="n">
        <v>2</v>
      </c>
      <c r="AC13" s="7" t="n">
        <v>1</v>
      </c>
      <c r="AD13" s="7" t="n">
        <v>2</v>
      </c>
      <c r="AE13" s="7" t="n">
        <v>2</v>
      </c>
      <c r="AF13" s="7" t="n">
        <v>1</v>
      </c>
      <c r="AG13" s="7" t="n">
        <v>1</v>
      </c>
      <c r="AH13" s="7" t="n">
        <v>2</v>
      </c>
      <c r="AI13" s="7" t="n">
        <v>1</v>
      </c>
      <c r="AJ13" s="7" t="n">
        <v>1</v>
      </c>
      <c r="AK13" s="7" t="n">
        <v>4</v>
      </c>
      <c r="AL13" s="7" t="n">
        <v>1</v>
      </c>
      <c r="AM13" s="7" t="n">
        <v>96</v>
      </c>
      <c r="AN13" s="7" t="n">
        <v>11</v>
      </c>
      <c r="AO13" s="7" t="n">
        <v>83</v>
      </c>
      <c r="AP13" s="7" t="n">
        <v>4.8</v>
      </c>
      <c r="AQ13" s="7" t="n">
        <v>4</v>
      </c>
      <c r="AR13" s="7" t="n">
        <v>4.6</v>
      </c>
      <c r="AS13" s="7" t="n">
        <v>0</v>
      </c>
      <c r="AT13" s="7" t="s">
        <v>62</v>
      </c>
      <c r="AU13" s="7"/>
      <c r="AV13" s="7"/>
    </row>
    <row r="14" customFormat="false" ht="15" hidden="false" customHeight="false" outlineLevel="0" collapsed="false">
      <c r="A14" s="12" t="s">
        <v>165</v>
      </c>
      <c r="B14" s="13" t="s">
        <v>166</v>
      </c>
      <c r="C14" s="12" t="s">
        <v>78</v>
      </c>
      <c r="D14" s="14" t="n">
        <v>37769</v>
      </c>
      <c r="E14" s="12" t="n">
        <f aca="false">DATEDIF(D14,'Chú giải'!$B$3,"Y")</f>
        <v>23</v>
      </c>
      <c r="F14" s="13" t="s">
        <v>65</v>
      </c>
      <c r="G14" s="13" t="s">
        <v>99</v>
      </c>
      <c r="H14" s="15" t="s">
        <v>167</v>
      </c>
      <c r="I14" s="13" t="s">
        <v>168</v>
      </c>
      <c r="J14" s="13" t="s">
        <v>169</v>
      </c>
      <c r="K14" s="13" t="s">
        <v>103</v>
      </c>
      <c r="L14" s="13" t="s">
        <v>104</v>
      </c>
      <c r="M14" s="12" t="s">
        <v>72</v>
      </c>
      <c r="N14" s="12" t="s">
        <v>60</v>
      </c>
      <c r="O14" s="12" t="s">
        <v>60</v>
      </c>
      <c r="P14" s="12" t="n">
        <v>6</v>
      </c>
      <c r="Q14" s="16" t="n">
        <v>3</v>
      </c>
      <c r="R14" s="16" t="n">
        <v>3.5</v>
      </c>
      <c r="S14" s="13"/>
      <c r="T14" s="14" t="n">
        <v>46327</v>
      </c>
      <c r="U14" s="12" t="n">
        <v>6</v>
      </c>
      <c r="V14" s="12" t="n">
        <v>3</v>
      </c>
      <c r="W14" s="12" t="n">
        <v>2</v>
      </c>
      <c r="X14" s="12" t="n">
        <v>1</v>
      </c>
      <c r="Y14" s="12" t="n">
        <v>2</v>
      </c>
      <c r="Z14" s="12" t="n">
        <v>2</v>
      </c>
      <c r="AA14" s="12" t="n">
        <v>2</v>
      </c>
      <c r="AB14" s="12" t="n">
        <v>2</v>
      </c>
      <c r="AC14" s="12" t="n">
        <v>1</v>
      </c>
      <c r="AD14" s="12" t="n">
        <v>2</v>
      </c>
      <c r="AE14" s="12" t="n">
        <v>1</v>
      </c>
      <c r="AF14" s="12" t="n">
        <v>1</v>
      </c>
      <c r="AG14" s="12" t="n">
        <v>1</v>
      </c>
      <c r="AH14" s="12" t="n">
        <v>2</v>
      </c>
      <c r="AI14" s="12" t="n">
        <v>2</v>
      </c>
      <c r="AJ14" s="12" t="n">
        <v>2</v>
      </c>
      <c r="AK14" s="12" t="n">
        <v>2</v>
      </c>
      <c r="AL14" s="12" t="n">
        <v>1</v>
      </c>
      <c r="AM14" s="12"/>
      <c r="AN14" s="12" t="n">
        <v>0</v>
      </c>
      <c r="AO14" s="12"/>
      <c r="AP14" s="12"/>
      <c r="AQ14" s="12" t="n">
        <v>0</v>
      </c>
      <c r="AR14" s="12"/>
      <c r="AS14" s="12" t="n">
        <v>0</v>
      </c>
      <c r="AT14" s="12" t="s">
        <v>73</v>
      </c>
      <c r="AU14" s="12" t="s">
        <v>130</v>
      </c>
      <c r="AV14" s="12" t="s">
        <v>170</v>
      </c>
    </row>
    <row r="15" customFormat="false" ht="15" hidden="false" customHeight="false" outlineLevel="0" collapsed="false">
      <c r="A15" s="12" t="s">
        <v>171</v>
      </c>
      <c r="B15" s="13" t="s">
        <v>172</v>
      </c>
      <c r="C15" s="12" t="s">
        <v>78</v>
      </c>
      <c r="D15" s="14" t="n">
        <v>37666</v>
      </c>
      <c r="E15" s="12" t="n">
        <f aca="false">DATEDIF(D15,'Chú giải'!$B$3,"Y")</f>
        <v>23</v>
      </c>
      <c r="F15" s="13" t="s">
        <v>65</v>
      </c>
      <c r="G15" s="13" t="s">
        <v>99</v>
      </c>
      <c r="H15" s="15" t="s">
        <v>173</v>
      </c>
      <c r="I15" s="13" t="s">
        <v>174</v>
      </c>
      <c r="J15" s="13" t="s">
        <v>175</v>
      </c>
      <c r="K15" s="13" t="s">
        <v>83</v>
      </c>
      <c r="L15" s="13" t="s">
        <v>57</v>
      </c>
      <c r="M15" s="12" t="s">
        <v>72</v>
      </c>
      <c r="N15" s="12" t="s">
        <v>60</v>
      </c>
      <c r="O15" s="12" t="s">
        <v>60</v>
      </c>
      <c r="P15" s="12" t="n">
        <v>6</v>
      </c>
      <c r="Q15" s="16" t="n">
        <v>3</v>
      </c>
      <c r="R15" s="16" t="n">
        <v>3.5</v>
      </c>
      <c r="S15" s="13"/>
      <c r="T15" s="14" t="n">
        <v>46327</v>
      </c>
      <c r="U15" s="12" t="n">
        <v>6</v>
      </c>
      <c r="V15" s="12" t="n">
        <v>3</v>
      </c>
      <c r="W15" s="12" t="n">
        <v>2</v>
      </c>
      <c r="X15" s="12" t="n">
        <v>1</v>
      </c>
      <c r="Y15" s="12" t="n">
        <v>2</v>
      </c>
      <c r="Z15" s="12" t="n">
        <v>2</v>
      </c>
      <c r="AA15" s="12" t="n">
        <v>2</v>
      </c>
      <c r="AB15" s="12" t="n">
        <v>2</v>
      </c>
      <c r="AC15" s="12" t="n">
        <v>1</v>
      </c>
      <c r="AD15" s="12" t="n">
        <v>2</v>
      </c>
      <c r="AE15" s="12" t="n">
        <v>1</v>
      </c>
      <c r="AF15" s="12" t="n">
        <v>2</v>
      </c>
      <c r="AG15" s="12" t="n">
        <v>1</v>
      </c>
      <c r="AH15" s="12" t="n">
        <v>2</v>
      </c>
      <c r="AI15" s="12" t="n">
        <v>2</v>
      </c>
      <c r="AJ15" s="12" t="n">
        <v>2</v>
      </c>
      <c r="AK15" s="12" t="n">
        <v>2</v>
      </c>
      <c r="AL15" s="12" t="n">
        <v>1</v>
      </c>
      <c r="AM15" s="12"/>
      <c r="AN15" s="12" t="n">
        <v>0</v>
      </c>
      <c r="AO15" s="12"/>
      <c r="AP15" s="12"/>
      <c r="AQ15" s="12" t="n">
        <v>0</v>
      </c>
      <c r="AR15" s="12"/>
      <c r="AS15" s="12" t="n">
        <v>0</v>
      </c>
      <c r="AT15" s="12" t="s">
        <v>73</v>
      </c>
      <c r="AU15" s="12" t="s">
        <v>176</v>
      </c>
      <c r="AV15" s="12" t="s">
        <v>177</v>
      </c>
    </row>
    <row r="16" customFormat="false" ht="15" hidden="false" customHeight="false" outlineLevel="0" collapsed="false">
      <c r="A16" s="7" t="s">
        <v>178</v>
      </c>
      <c r="B16" s="8" t="s">
        <v>179</v>
      </c>
      <c r="C16" s="7" t="s">
        <v>78</v>
      </c>
      <c r="D16" s="9" t="n">
        <v>38390</v>
      </c>
      <c r="E16" s="7" t="n">
        <f aca="false">DATEDIF(D16,'Chú giải'!$B$3,"Y")</f>
        <v>21</v>
      </c>
      <c r="F16" s="8" t="s">
        <v>180</v>
      </c>
      <c r="G16" s="8" t="s">
        <v>181</v>
      </c>
      <c r="H16" s="10" t="s">
        <v>182</v>
      </c>
      <c r="I16" s="8" t="s">
        <v>183</v>
      </c>
      <c r="J16" s="8" t="s">
        <v>184</v>
      </c>
      <c r="K16" s="8" t="s">
        <v>185</v>
      </c>
      <c r="L16" s="8" t="s">
        <v>57</v>
      </c>
      <c r="M16" s="7" t="s">
        <v>58</v>
      </c>
      <c r="N16" s="7" t="s">
        <v>59</v>
      </c>
      <c r="O16" s="7" t="s">
        <v>60</v>
      </c>
      <c r="P16" s="7" t="n">
        <v>6</v>
      </c>
      <c r="Q16" s="11" t="n">
        <v>3.5</v>
      </c>
      <c r="R16" s="11" t="n">
        <v>4.5</v>
      </c>
      <c r="S16" s="8" t="s">
        <v>186</v>
      </c>
      <c r="T16" s="9" t="n">
        <v>46333</v>
      </c>
      <c r="U16" s="7" t="n">
        <v>6</v>
      </c>
      <c r="V16" s="7" t="n">
        <v>3</v>
      </c>
      <c r="W16" s="7" t="n">
        <v>2</v>
      </c>
      <c r="X16" s="7" t="n">
        <v>1</v>
      </c>
      <c r="Y16" s="7" t="n">
        <v>2</v>
      </c>
      <c r="Z16" s="7" t="n">
        <v>3</v>
      </c>
      <c r="AA16" s="7" t="n">
        <v>1</v>
      </c>
      <c r="AB16" s="7" t="n">
        <v>2</v>
      </c>
      <c r="AC16" s="7" t="n">
        <v>2</v>
      </c>
      <c r="AD16" s="7" t="n">
        <v>2</v>
      </c>
      <c r="AE16" s="7" t="n">
        <v>1</v>
      </c>
      <c r="AF16" s="7" t="n">
        <v>1</v>
      </c>
      <c r="AG16" s="7" t="n">
        <v>1</v>
      </c>
      <c r="AH16" s="7" t="n">
        <v>1</v>
      </c>
      <c r="AI16" s="7" t="n">
        <v>1</v>
      </c>
      <c r="AJ16" s="7" t="n">
        <v>2</v>
      </c>
      <c r="AK16" s="7" t="n">
        <v>2</v>
      </c>
      <c r="AL16" s="7" t="n">
        <v>3</v>
      </c>
      <c r="AM16" s="7" t="n">
        <v>100</v>
      </c>
      <c r="AN16" s="7" t="n">
        <v>4</v>
      </c>
      <c r="AO16" s="7" t="n">
        <v>92</v>
      </c>
      <c r="AP16" s="7" t="n">
        <v>4.5</v>
      </c>
      <c r="AQ16" s="7" t="n">
        <v>3</v>
      </c>
      <c r="AR16" s="7" t="n">
        <v>4.9</v>
      </c>
      <c r="AS16" s="7" t="n">
        <v>0</v>
      </c>
      <c r="AT16" s="7" t="s">
        <v>62</v>
      </c>
      <c r="AU16" s="7"/>
      <c r="AV16" s="7"/>
    </row>
    <row r="17" customFormat="false" ht="15" hidden="false" customHeight="false" outlineLevel="0" collapsed="false">
      <c r="A17" s="12" t="s">
        <v>187</v>
      </c>
      <c r="B17" s="13" t="s">
        <v>188</v>
      </c>
      <c r="C17" s="12" t="s">
        <v>78</v>
      </c>
      <c r="D17" s="14" t="n">
        <v>37701</v>
      </c>
      <c r="E17" s="12" t="n">
        <f aca="false">DATEDIF(D17,'Chú giải'!$B$3,"Y")</f>
        <v>23</v>
      </c>
      <c r="F17" s="13" t="s">
        <v>65</v>
      </c>
      <c r="G17" s="13" t="s">
        <v>99</v>
      </c>
      <c r="H17" s="15" t="s">
        <v>189</v>
      </c>
      <c r="I17" s="13" t="s">
        <v>190</v>
      </c>
      <c r="J17" s="13" t="s">
        <v>191</v>
      </c>
      <c r="K17" s="13" t="s">
        <v>192</v>
      </c>
      <c r="L17" s="13" t="s">
        <v>104</v>
      </c>
      <c r="M17" s="12" t="s">
        <v>72</v>
      </c>
      <c r="N17" s="12" t="s">
        <v>60</v>
      </c>
      <c r="O17" s="12" t="s">
        <v>60</v>
      </c>
      <c r="P17" s="12" t="n">
        <v>6</v>
      </c>
      <c r="Q17" s="16" t="n">
        <v>3</v>
      </c>
      <c r="R17" s="16" t="n">
        <v>3.5</v>
      </c>
      <c r="S17" s="13"/>
      <c r="T17" s="14" t="n">
        <v>46327</v>
      </c>
      <c r="U17" s="12" t="n">
        <v>6</v>
      </c>
      <c r="V17" s="12" t="n">
        <v>3</v>
      </c>
      <c r="W17" s="12" t="n">
        <v>3</v>
      </c>
      <c r="X17" s="12" t="n">
        <v>1</v>
      </c>
      <c r="Y17" s="12" t="n">
        <v>2</v>
      </c>
      <c r="Z17" s="12" t="n">
        <v>2</v>
      </c>
      <c r="AA17" s="12" t="n">
        <v>2</v>
      </c>
      <c r="AB17" s="12" t="n">
        <v>2</v>
      </c>
      <c r="AC17" s="12" t="n">
        <v>1</v>
      </c>
      <c r="AD17" s="12" t="n">
        <v>2</v>
      </c>
      <c r="AE17" s="12" t="n">
        <v>1</v>
      </c>
      <c r="AF17" s="12" t="n">
        <v>1</v>
      </c>
      <c r="AG17" s="12" t="n">
        <v>1</v>
      </c>
      <c r="AH17" s="12" t="n">
        <v>3</v>
      </c>
      <c r="AI17" s="12" t="n">
        <v>2</v>
      </c>
      <c r="AJ17" s="12" t="n">
        <v>2</v>
      </c>
      <c r="AK17" s="12" t="n">
        <v>4</v>
      </c>
      <c r="AL17" s="12" t="n">
        <v>1</v>
      </c>
      <c r="AM17" s="12"/>
      <c r="AN17" s="12" t="n">
        <v>0</v>
      </c>
      <c r="AO17" s="12"/>
      <c r="AP17" s="12"/>
      <c r="AQ17" s="12" t="n">
        <v>0</v>
      </c>
      <c r="AR17" s="12"/>
      <c r="AS17" s="12" t="n">
        <v>0</v>
      </c>
      <c r="AT17" s="12" t="s">
        <v>73</v>
      </c>
      <c r="AU17" s="12" t="s">
        <v>193</v>
      </c>
      <c r="AV17" s="12" t="s">
        <v>194</v>
      </c>
    </row>
    <row r="18" customFormat="false" ht="15" hidden="false" customHeight="false" outlineLevel="0" collapsed="false">
      <c r="A18" s="7" t="s">
        <v>195</v>
      </c>
      <c r="B18" s="8" t="s">
        <v>196</v>
      </c>
      <c r="C18" s="7" t="s">
        <v>50</v>
      </c>
      <c r="D18" s="9" t="n">
        <v>36272</v>
      </c>
      <c r="E18" s="7" t="n">
        <f aca="false">DATEDIF(D18,'Chú giải'!$B$3,"Y")</f>
        <v>27</v>
      </c>
      <c r="F18" s="8" t="s">
        <v>197</v>
      </c>
      <c r="G18" s="8" t="s">
        <v>198</v>
      </c>
      <c r="H18" s="10" t="s">
        <v>199</v>
      </c>
      <c r="I18" s="8" t="s">
        <v>200</v>
      </c>
      <c r="J18" s="8" t="s">
        <v>201</v>
      </c>
      <c r="K18" s="8" t="s">
        <v>202</v>
      </c>
      <c r="L18" s="8" t="s">
        <v>113</v>
      </c>
      <c r="M18" s="7" t="s">
        <v>72</v>
      </c>
      <c r="N18" s="7" t="s">
        <v>59</v>
      </c>
      <c r="O18" s="7" t="s">
        <v>60</v>
      </c>
      <c r="P18" s="7" t="n">
        <v>6</v>
      </c>
      <c r="Q18" s="11" t="n">
        <v>3.5</v>
      </c>
      <c r="R18" s="11" t="n">
        <v>5</v>
      </c>
      <c r="S18" s="8" t="s">
        <v>203</v>
      </c>
      <c r="T18" s="9" t="n">
        <v>46365</v>
      </c>
      <c r="U18" s="7" t="n">
        <v>12</v>
      </c>
      <c r="V18" s="7" t="n">
        <v>6</v>
      </c>
      <c r="W18" s="7" t="n">
        <v>2</v>
      </c>
      <c r="X18" s="7" t="n">
        <v>1</v>
      </c>
      <c r="Y18" s="7" t="n">
        <v>2</v>
      </c>
      <c r="Z18" s="7" t="n">
        <v>2</v>
      </c>
      <c r="AA18" s="7" t="n">
        <v>3</v>
      </c>
      <c r="AB18" s="7" t="n">
        <v>3</v>
      </c>
      <c r="AC18" s="7" t="n">
        <v>1</v>
      </c>
      <c r="AD18" s="7" t="n">
        <v>3</v>
      </c>
      <c r="AE18" s="7" t="n">
        <v>1</v>
      </c>
      <c r="AF18" s="7" t="n">
        <v>1</v>
      </c>
      <c r="AG18" s="7" t="n">
        <v>3</v>
      </c>
      <c r="AH18" s="7" t="n">
        <v>1</v>
      </c>
      <c r="AI18" s="7" t="n">
        <v>1</v>
      </c>
      <c r="AJ18" s="7" t="n">
        <v>1</v>
      </c>
      <c r="AK18" s="7" t="n">
        <v>1</v>
      </c>
      <c r="AL18" s="7" t="n">
        <v>1</v>
      </c>
      <c r="AM18" s="7"/>
      <c r="AN18" s="7" t="n">
        <v>0</v>
      </c>
      <c r="AO18" s="7"/>
      <c r="AP18" s="7"/>
      <c r="AQ18" s="7" t="n">
        <v>0</v>
      </c>
      <c r="AR18" s="7"/>
      <c r="AS18" s="7" t="n">
        <v>0</v>
      </c>
      <c r="AT18" s="7" t="s">
        <v>62</v>
      </c>
      <c r="AU18" s="7"/>
      <c r="AV18" s="7"/>
    </row>
    <row r="19" customFormat="false" ht="15" hidden="false" customHeight="false" outlineLevel="0" collapsed="false">
      <c r="A19" s="7" t="s">
        <v>204</v>
      </c>
      <c r="B19" s="8" t="s">
        <v>205</v>
      </c>
      <c r="C19" s="7" t="s">
        <v>50</v>
      </c>
      <c r="D19" s="9" t="n">
        <v>37644</v>
      </c>
      <c r="E19" s="7" t="n">
        <f aca="false">DATEDIF(D19,'Chú giải'!$B$3,"Y")</f>
        <v>23</v>
      </c>
      <c r="F19" s="8" t="s">
        <v>206</v>
      </c>
      <c r="G19" s="8" t="s">
        <v>198</v>
      </c>
      <c r="H19" s="10" t="s">
        <v>207</v>
      </c>
      <c r="I19" s="8" t="s">
        <v>208</v>
      </c>
      <c r="J19" s="8" t="s">
        <v>209</v>
      </c>
      <c r="K19" s="8" t="s">
        <v>210</v>
      </c>
      <c r="L19" s="8" t="s">
        <v>149</v>
      </c>
      <c r="M19" s="7" t="s">
        <v>211</v>
      </c>
      <c r="N19" s="7" t="s">
        <v>60</v>
      </c>
      <c r="O19" s="7" t="s">
        <v>60</v>
      </c>
      <c r="P19" s="7" t="n">
        <v>6</v>
      </c>
      <c r="Q19" s="11" t="n">
        <v>4.5</v>
      </c>
      <c r="R19" s="11" t="n">
        <v>5</v>
      </c>
      <c r="S19" s="8" t="s">
        <v>212</v>
      </c>
      <c r="T19" s="9" t="n">
        <v>46341</v>
      </c>
      <c r="U19" s="7" t="n">
        <v>6</v>
      </c>
      <c r="V19" s="7" t="n">
        <v>3</v>
      </c>
      <c r="W19" s="7" t="n">
        <v>3</v>
      </c>
      <c r="X19" s="7" t="n">
        <v>1</v>
      </c>
      <c r="Y19" s="7" t="n">
        <v>1</v>
      </c>
      <c r="Z19" s="7" t="n">
        <v>2</v>
      </c>
      <c r="AA19" s="7" t="n">
        <v>2</v>
      </c>
      <c r="AB19" s="7" t="n">
        <v>2</v>
      </c>
      <c r="AC19" s="7" t="n">
        <v>1</v>
      </c>
      <c r="AD19" s="7" t="n">
        <v>1</v>
      </c>
      <c r="AE19" s="7" t="n">
        <v>1</v>
      </c>
      <c r="AF19" s="7" t="n">
        <v>1</v>
      </c>
      <c r="AG19" s="7" t="n">
        <v>1</v>
      </c>
      <c r="AH19" s="7" t="n">
        <v>3</v>
      </c>
      <c r="AI19" s="7" t="n">
        <v>1</v>
      </c>
      <c r="AJ19" s="7" t="n">
        <v>2</v>
      </c>
      <c r="AK19" s="7" t="n">
        <v>2</v>
      </c>
      <c r="AL19" s="7" t="n">
        <v>1</v>
      </c>
      <c r="AM19" s="7" t="n">
        <v>92</v>
      </c>
      <c r="AN19" s="7" t="n">
        <v>6</v>
      </c>
      <c r="AO19" s="7" t="n">
        <v>58</v>
      </c>
      <c r="AP19" s="7" t="n">
        <v>3.1</v>
      </c>
      <c r="AQ19" s="7" t="n">
        <v>0</v>
      </c>
      <c r="AR19" s="7"/>
      <c r="AS19" s="7" t="n">
        <v>0</v>
      </c>
      <c r="AT19" s="7" t="s">
        <v>62</v>
      </c>
      <c r="AU19" s="7"/>
      <c r="AV19" s="7"/>
    </row>
    <row r="20" customFormat="false" ht="15" hidden="false" customHeight="false" outlineLevel="0" collapsed="false">
      <c r="A20" s="12" t="s">
        <v>213</v>
      </c>
      <c r="B20" s="13" t="s">
        <v>214</v>
      </c>
      <c r="C20" s="12" t="s">
        <v>78</v>
      </c>
      <c r="D20" s="14" t="n">
        <v>37746</v>
      </c>
      <c r="E20" s="12" t="n">
        <f aca="false">DATEDIF(D20,'Chú giải'!$B$3,"Y")</f>
        <v>23</v>
      </c>
      <c r="F20" s="13" t="s">
        <v>65</v>
      </c>
      <c r="G20" s="13" t="s">
        <v>99</v>
      </c>
      <c r="H20" s="15" t="s">
        <v>215</v>
      </c>
      <c r="I20" s="13" t="s">
        <v>216</v>
      </c>
      <c r="J20" s="13" t="s">
        <v>217</v>
      </c>
      <c r="K20" s="13" t="s">
        <v>218</v>
      </c>
      <c r="L20" s="13" t="s">
        <v>94</v>
      </c>
      <c r="M20" s="12" t="s">
        <v>72</v>
      </c>
      <c r="N20" s="12" t="s">
        <v>60</v>
      </c>
      <c r="O20" s="12" t="s">
        <v>60</v>
      </c>
      <c r="P20" s="12" t="n">
        <v>6</v>
      </c>
      <c r="Q20" s="16" t="n">
        <v>3</v>
      </c>
      <c r="R20" s="16" t="n">
        <v>3.5</v>
      </c>
      <c r="S20" s="13"/>
      <c r="T20" s="14" t="n">
        <v>46327</v>
      </c>
      <c r="U20" s="12" t="n">
        <v>6</v>
      </c>
      <c r="V20" s="12" t="n">
        <v>3</v>
      </c>
      <c r="W20" s="12" t="n">
        <v>2</v>
      </c>
      <c r="X20" s="12" t="n">
        <v>1</v>
      </c>
      <c r="Y20" s="12" t="n">
        <v>2</v>
      </c>
      <c r="Z20" s="12" t="n">
        <v>2</v>
      </c>
      <c r="AA20" s="12" t="n">
        <v>2</v>
      </c>
      <c r="AB20" s="12" t="n">
        <v>2</v>
      </c>
      <c r="AC20" s="12" t="n">
        <v>1</v>
      </c>
      <c r="AD20" s="12" t="n">
        <v>2</v>
      </c>
      <c r="AE20" s="12" t="n">
        <v>1</v>
      </c>
      <c r="AF20" s="12" t="n">
        <v>2</v>
      </c>
      <c r="AG20" s="12" t="n">
        <v>1</v>
      </c>
      <c r="AH20" s="12" t="n">
        <v>2</v>
      </c>
      <c r="AI20" s="12" t="n">
        <v>2</v>
      </c>
      <c r="AJ20" s="12" t="n">
        <v>2</v>
      </c>
      <c r="AK20" s="12" t="n">
        <v>2</v>
      </c>
      <c r="AL20" s="12" t="n">
        <v>1</v>
      </c>
      <c r="AM20" s="12"/>
      <c r="AN20" s="12" t="n">
        <v>0</v>
      </c>
      <c r="AO20" s="12"/>
      <c r="AP20" s="12"/>
      <c r="AQ20" s="12" t="n">
        <v>0</v>
      </c>
      <c r="AR20" s="12"/>
      <c r="AS20" s="12" t="n">
        <v>0</v>
      </c>
      <c r="AT20" s="12" t="s">
        <v>73</v>
      </c>
      <c r="AU20" s="12" t="s">
        <v>219</v>
      </c>
      <c r="AV20" s="12" t="s">
        <v>220</v>
      </c>
    </row>
    <row r="21" customFormat="false" ht="15" hidden="false" customHeight="false" outlineLevel="0" collapsed="false">
      <c r="A21" s="7" t="s">
        <v>221</v>
      </c>
      <c r="B21" s="8" t="s">
        <v>222</v>
      </c>
      <c r="C21" s="7" t="s">
        <v>50</v>
      </c>
      <c r="D21" s="9" t="n">
        <v>38532</v>
      </c>
      <c r="E21" s="7" t="n">
        <f aca="false">DATEDIF(D21,'Chú giải'!$B$3,"Y")</f>
        <v>21</v>
      </c>
      <c r="F21" s="8" t="s">
        <v>180</v>
      </c>
      <c r="G21" s="8" t="s">
        <v>223</v>
      </c>
      <c r="H21" s="10" t="s">
        <v>224</v>
      </c>
      <c r="I21" s="8" t="s">
        <v>225</v>
      </c>
      <c r="J21" s="8" t="s">
        <v>226</v>
      </c>
      <c r="K21" s="8" t="s">
        <v>227</v>
      </c>
      <c r="L21" s="8" t="s">
        <v>129</v>
      </c>
      <c r="M21" s="7" t="s">
        <v>84</v>
      </c>
      <c r="N21" s="7" t="s">
        <v>60</v>
      </c>
      <c r="O21" s="7" t="s">
        <v>60</v>
      </c>
      <c r="P21" s="7" t="n">
        <v>6</v>
      </c>
      <c r="Q21" s="11" t="n">
        <v>2.5</v>
      </c>
      <c r="R21" s="11" t="n">
        <v>4</v>
      </c>
      <c r="S21" s="8"/>
      <c r="T21" s="9" t="n">
        <v>46341</v>
      </c>
      <c r="U21" s="7" t="n">
        <v>12</v>
      </c>
      <c r="V21" s="7" t="n">
        <v>6</v>
      </c>
      <c r="W21" s="7" t="n">
        <v>2</v>
      </c>
      <c r="X21" s="7" t="n">
        <v>1</v>
      </c>
      <c r="Y21" s="7" t="n">
        <v>2</v>
      </c>
      <c r="Z21" s="7" t="n">
        <v>4</v>
      </c>
      <c r="AA21" s="7" t="n">
        <v>3</v>
      </c>
      <c r="AB21" s="7" t="n">
        <v>2</v>
      </c>
      <c r="AC21" s="7" t="n">
        <v>2</v>
      </c>
      <c r="AD21" s="7" t="n">
        <v>3</v>
      </c>
      <c r="AE21" s="7" t="n">
        <v>1</v>
      </c>
      <c r="AF21" s="7" t="n">
        <v>1</v>
      </c>
      <c r="AG21" s="7" t="n">
        <v>3</v>
      </c>
      <c r="AH21" s="7" t="n">
        <v>2</v>
      </c>
      <c r="AI21" s="7" t="n">
        <v>1</v>
      </c>
      <c r="AJ21" s="7" t="n">
        <v>1</v>
      </c>
      <c r="AK21" s="7" t="n">
        <v>2</v>
      </c>
      <c r="AL21" s="7" t="n">
        <v>2</v>
      </c>
      <c r="AM21" s="7" t="n">
        <v>96</v>
      </c>
      <c r="AN21" s="7" t="n">
        <v>11</v>
      </c>
      <c r="AO21" s="7" t="n">
        <v>55</v>
      </c>
      <c r="AP21" s="7" t="n">
        <v>3.5</v>
      </c>
      <c r="AQ21" s="7" t="n">
        <v>1</v>
      </c>
      <c r="AR21" s="7" t="n">
        <v>4.8</v>
      </c>
      <c r="AS21" s="7" t="n">
        <v>0</v>
      </c>
      <c r="AT21" s="7" t="s">
        <v>62</v>
      </c>
      <c r="AU21" s="7"/>
      <c r="AV21" s="7"/>
    </row>
    <row r="22" customFormat="false" ht="15" hidden="false" customHeight="false" outlineLevel="0" collapsed="false">
      <c r="A22" s="12" t="s">
        <v>228</v>
      </c>
      <c r="B22" s="13" t="s">
        <v>229</v>
      </c>
      <c r="C22" s="12" t="s">
        <v>78</v>
      </c>
      <c r="D22" s="14" t="n">
        <v>38871</v>
      </c>
      <c r="E22" s="12" t="n">
        <f aca="false">DATEDIF(D22,'Chú giải'!$B$3,"Y")</f>
        <v>20</v>
      </c>
      <c r="F22" s="13" t="s">
        <v>230</v>
      </c>
      <c r="G22" s="13" t="s">
        <v>231</v>
      </c>
      <c r="H22" s="15" t="s">
        <v>232</v>
      </c>
      <c r="I22" s="13" t="s">
        <v>233</v>
      </c>
      <c r="J22" s="13" t="s">
        <v>234</v>
      </c>
      <c r="K22" s="13" t="s">
        <v>235</v>
      </c>
      <c r="L22" s="13" t="s">
        <v>149</v>
      </c>
      <c r="M22" s="12" t="s">
        <v>72</v>
      </c>
      <c r="N22" s="12" t="s">
        <v>60</v>
      </c>
      <c r="O22" s="12" t="s">
        <v>60</v>
      </c>
      <c r="P22" s="12" t="n">
        <v>6</v>
      </c>
      <c r="Q22" s="16" t="n">
        <v>3</v>
      </c>
      <c r="R22" s="16" t="n">
        <v>3.5</v>
      </c>
      <c r="S22" s="13"/>
      <c r="T22" s="14" t="n">
        <v>46327</v>
      </c>
      <c r="U22" s="12" t="n">
        <v>6</v>
      </c>
      <c r="V22" s="12" t="n">
        <v>3</v>
      </c>
      <c r="W22" s="12" t="n">
        <v>2</v>
      </c>
      <c r="X22" s="12" t="n">
        <v>1</v>
      </c>
      <c r="Y22" s="12" t="n">
        <v>2</v>
      </c>
      <c r="Z22" s="12" t="n">
        <v>2</v>
      </c>
      <c r="AA22" s="12" t="n">
        <v>2</v>
      </c>
      <c r="AB22" s="12" t="n">
        <v>2</v>
      </c>
      <c r="AC22" s="12" t="n">
        <v>1</v>
      </c>
      <c r="AD22" s="12" t="n">
        <v>2</v>
      </c>
      <c r="AE22" s="12" t="n">
        <v>1</v>
      </c>
      <c r="AF22" s="12" t="n">
        <v>1</v>
      </c>
      <c r="AG22" s="12" t="n">
        <v>1</v>
      </c>
      <c r="AH22" s="12" t="n">
        <v>2</v>
      </c>
      <c r="AI22" s="12" t="n">
        <v>2</v>
      </c>
      <c r="AJ22" s="12" t="n">
        <v>2</v>
      </c>
      <c r="AK22" s="12" t="n">
        <v>2</v>
      </c>
      <c r="AL22" s="12" t="n">
        <v>1</v>
      </c>
      <c r="AM22" s="12"/>
      <c r="AN22" s="12" t="n">
        <v>0</v>
      </c>
      <c r="AO22" s="12"/>
      <c r="AP22" s="12"/>
      <c r="AQ22" s="12" t="n">
        <v>0</v>
      </c>
      <c r="AR22" s="12"/>
      <c r="AS22" s="12" t="n">
        <v>0</v>
      </c>
      <c r="AT22" s="12" t="s">
        <v>73</v>
      </c>
      <c r="AU22" s="12" t="s">
        <v>236</v>
      </c>
      <c r="AV22" s="12" t="s">
        <v>237</v>
      </c>
    </row>
    <row r="23" customFormat="false" ht="15" hidden="false" customHeight="false" outlineLevel="0" collapsed="false">
      <c r="A23" s="12" t="s">
        <v>238</v>
      </c>
      <c r="B23" s="13" t="s">
        <v>239</v>
      </c>
      <c r="C23" s="12" t="s">
        <v>78</v>
      </c>
      <c r="D23" s="14" t="n">
        <v>37038</v>
      </c>
      <c r="E23" s="12" t="n">
        <f aca="false">DATEDIF(D23,'Chú giải'!$B$3,"Y")</f>
        <v>25</v>
      </c>
      <c r="F23" s="13" t="s">
        <v>65</v>
      </c>
      <c r="G23" s="13" t="s">
        <v>66</v>
      </c>
      <c r="H23" s="15" t="s">
        <v>240</v>
      </c>
      <c r="I23" s="13" t="s">
        <v>241</v>
      </c>
      <c r="J23" s="13" t="s">
        <v>242</v>
      </c>
      <c r="K23" s="13" t="s">
        <v>192</v>
      </c>
      <c r="L23" s="13" t="s">
        <v>104</v>
      </c>
      <c r="M23" s="12" t="s">
        <v>72</v>
      </c>
      <c r="N23" s="12" t="s">
        <v>60</v>
      </c>
      <c r="O23" s="12" t="s">
        <v>60</v>
      </c>
      <c r="P23" s="12" t="n">
        <v>6</v>
      </c>
      <c r="Q23" s="16" t="n">
        <v>3</v>
      </c>
      <c r="R23" s="16" t="n">
        <v>3.5</v>
      </c>
      <c r="S23" s="13"/>
      <c r="T23" s="14" t="n">
        <v>46327</v>
      </c>
      <c r="U23" s="12" t="n">
        <v>6</v>
      </c>
      <c r="V23" s="12" t="n">
        <v>3</v>
      </c>
      <c r="W23" s="12" t="n">
        <v>2</v>
      </c>
      <c r="X23" s="12" t="n">
        <v>1</v>
      </c>
      <c r="Y23" s="12" t="n">
        <v>2</v>
      </c>
      <c r="Z23" s="12" t="n">
        <v>2</v>
      </c>
      <c r="AA23" s="12" t="n">
        <v>2</v>
      </c>
      <c r="AB23" s="12" t="n">
        <v>2</v>
      </c>
      <c r="AC23" s="12" t="n">
        <v>1</v>
      </c>
      <c r="AD23" s="12" t="n">
        <v>2</v>
      </c>
      <c r="AE23" s="12" t="n">
        <v>3</v>
      </c>
      <c r="AF23" s="12" t="n">
        <v>1</v>
      </c>
      <c r="AG23" s="12" t="n">
        <v>1</v>
      </c>
      <c r="AH23" s="12" t="n">
        <v>2</v>
      </c>
      <c r="AI23" s="12" t="n">
        <v>2</v>
      </c>
      <c r="AJ23" s="12" t="n">
        <v>2</v>
      </c>
      <c r="AK23" s="12" t="n">
        <v>2</v>
      </c>
      <c r="AL23" s="12" t="n">
        <v>1</v>
      </c>
      <c r="AM23" s="12"/>
      <c r="AN23" s="12" t="n">
        <v>0</v>
      </c>
      <c r="AO23" s="12"/>
      <c r="AP23" s="12"/>
      <c r="AQ23" s="12" t="n">
        <v>0</v>
      </c>
      <c r="AR23" s="12"/>
      <c r="AS23" s="12" t="n">
        <v>0</v>
      </c>
      <c r="AT23" s="12" t="s">
        <v>73</v>
      </c>
      <c r="AU23" s="12" t="s">
        <v>243</v>
      </c>
      <c r="AV23" s="12" t="s">
        <v>244</v>
      </c>
    </row>
    <row r="24" customFormat="false" ht="15" hidden="false" customHeight="false" outlineLevel="0" collapsed="false">
      <c r="A24" s="7" t="s">
        <v>245</v>
      </c>
      <c r="B24" s="8" t="s">
        <v>246</v>
      </c>
      <c r="C24" s="7" t="s">
        <v>78</v>
      </c>
      <c r="D24" s="9" t="n">
        <v>35191</v>
      </c>
      <c r="E24" s="7" t="n">
        <f aca="false">DATEDIF(D24,'Chú giải'!$B$3,"Y")</f>
        <v>30</v>
      </c>
      <c r="F24" s="8" t="s">
        <v>247</v>
      </c>
      <c r="G24" s="8" t="s">
        <v>248</v>
      </c>
      <c r="H24" s="10" t="s">
        <v>249</v>
      </c>
      <c r="I24" s="8" t="s">
        <v>250</v>
      </c>
      <c r="J24" s="8" t="s">
        <v>251</v>
      </c>
      <c r="K24" s="8" t="s">
        <v>252</v>
      </c>
      <c r="L24" s="8" t="s">
        <v>113</v>
      </c>
      <c r="M24" s="7" t="s">
        <v>72</v>
      </c>
      <c r="N24" s="7" t="s">
        <v>60</v>
      </c>
      <c r="O24" s="7" t="s">
        <v>60</v>
      </c>
      <c r="P24" s="7" t="n">
        <v>6</v>
      </c>
      <c r="Q24" s="11" t="n">
        <v>4.5</v>
      </c>
      <c r="R24" s="11" t="n">
        <v>6</v>
      </c>
      <c r="S24" s="8" t="s">
        <v>253</v>
      </c>
      <c r="T24" s="9" t="n">
        <v>46364</v>
      </c>
      <c r="U24" s="7" t="n">
        <v>9</v>
      </c>
      <c r="V24" s="7" t="n">
        <v>3</v>
      </c>
      <c r="W24" s="7" t="n">
        <v>3</v>
      </c>
      <c r="X24" s="7" t="n">
        <v>1</v>
      </c>
      <c r="Y24" s="7" t="n">
        <v>4</v>
      </c>
      <c r="Z24" s="7" t="n">
        <v>2</v>
      </c>
      <c r="AA24" s="7"/>
      <c r="AB24" s="7" t="n">
        <v>3</v>
      </c>
      <c r="AC24" s="7" t="n">
        <v>1</v>
      </c>
      <c r="AD24" s="7"/>
      <c r="AE24" s="7"/>
      <c r="AF24" s="7" t="n">
        <v>1</v>
      </c>
      <c r="AG24" s="7" t="n">
        <v>1</v>
      </c>
      <c r="AH24" s="7" t="n">
        <v>4</v>
      </c>
      <c r="AI24" s="7" t="n">
        <v>1</v>
      </c>
      <c r="AJ24" s="7" t="n">
        <v>2</v>
      </c>
      <c r="AK24" s="7"/>
      <c r="AL24" s="7" t="n">
        <v>1</v>
      </c>
      <c r="AM24" s="7"/>
      <c r="AN24" s="7" t="n">
        <v>0</v>
      </c>
      <c r="AO24" s="7"/>
      <c r="AP24" s="7"/>
      <c r="AQ24" s="7" t="n">
        <v>0</v>
      </c>
      <c r="AR24" s="7"/>
      <c r="AS24" s="7" t="n">
        <v>0</v>
      </c>
      <c r="AT24" s="7" t="s">
        <v>86</v>
      </c>
      <c r="AU24" s="7"/>
      <c r="AV24" s="7" t="s">
        <v>254</v>
      </c>
    </row>
    <row r="25" customFormat="false" ht="15" hidden="false" customHeight="false" outlineLevel="0" collapsed="false">
      <c r="A25" s="7" t="s">
        <v>255</v>
      </c>
      <c r="B25" s="8" t="s">
        <v>256</v>
      </c>
      <c r="C25" s="7" t="s">
        <v>50</v>
      </c>
      <c r="D25" s="9" t="n">
        <v>38157</v>
      </c>
      <c r="E25" s="7" t="n">
        <f aca="false">DATEDIF(D25,'Chú giải'!$B$3,"Y")</f>
        <v>22</v>
      </c>
      <c r="F25" s="8" t="s">
        <v>79</v>
      </c>
      <c r="G25" s="8" t="s">
        <v>257</v>
      </c>
      <c r="H25" s="10" t="s">
        <v>258</v>
      </c>
      <c r="I25" s="8" t="s">
        <v>259</v>
      </c>
      <c r="J25" s="8" t="s">
        <v>260</v>
      </c>
      <c r="K25" s="8" t="s">
        <v>261</v>
      </c>
      <c r="L25" s="8" t="s">
        <v>262</v>
      </c>
      <c r="M25" s="7" t="s">
        <v>211</v>
      </c>
      <c r="N25" s="7" t="s">
        <v>60</v>
      </c>
      <c r="O25" s="7" t="s">
        <v>60</v>
      </c>
      <c r="P25" s="7" t="n">
        <v>6</v>
      </c>
      <c r="Q25" s="11" t="n">
        <v>3</v>
      </c>
      <c r="R25" s="11" t="n">
        <v>3</v>
      </c>
      <c r="S25" s="8" t="s">
        <v>263</v>
      </c>
      <c r="T25" s="9" t="n">
        <v>46313</v>
      </c>
      <c r="U25" s="7" t="n">
        <v>6</v>
      </c>
      <c r="V25" s="7" t="n">
        <v>6</v>
      </c>
      <c r="W25" s="7" t="n">
        <v>2</v>
      </c>
      <c r="X25" s="7" t="n">
        <v>1</v>
      </c>
      <c r="Y25" s="7" t="n">
        <v>2</v>
      </c>
      <c r="Z25" s="7" t="n">
        <v>3</v>
      </c>
      <c r="AA25" s="7" t="n">
        <v>3</v>
      </c>
      <c r="AB25" s="7" t="n">
        <v>2</v>
      </c>
      <c r="AC25" s="7" t="n">
        <v>3</v>
      </c>
      <c r="AD25" s="7" t="n">
        <v>3</v>
      </c>
      <c r="AE25" s="7" t="n">
        <v>1</v>
      </c>
      <c r="AF25" s="7" t="n">
        <v>1</v>
      </c>
      <c r="AG25" s="7" t="n">
        <v>1</v>
      </c>
      <c r="AH25" s="7" t="n">
        <v>2</v>
      </c>
      <c r="AI25" s="7" t="n">
        <v>2</v>
      </c>
      <c r="AJ25" s="7" t="n">
        <v>2</v>
      </c>
      <c r="AK25" s="7" t="n">
        <v>4</v>
      </c>
      <c r="AL25" s="7" t="n">
        <v>4</v>
      </c>
      <c r="AM25" s="7"/>
      <c r="AN25" s="7" t="n">
        <v>0</v>
      </c>
      <c r="AO25" s="7"/>
      <c r="AP25" s="7"/>
      <c r="AQ25" s="7" t="n">
        <v>0</v>
      </c>
      <c r="AR25" s="7"/>
      <c r="AS25" s="7" t="n">
        <v>0</v>
      </c>
      <c r="AT25" s="7" t="s">
        <v>62</v>
      </c>
      <c r="AU25" s="7"/>
      <c r="AV25" s="7"/>
    </row>
    <row r="26" customFormat="false" ht="15" hidden="false" customHeight="false" outlineLevel="0" collapsed="false">
      <c r="A26" s="7" t="s">
        <v>264</v>
      </c>
      <c r="B26" s="8" t="s">
        <v>265</v>
      </c>
      <c r="C26" s="7" t="s">
        <v>78</v>
      </c>
      <c r="D26" s="9" t="n">
        <v>38459</v>
      </c>
      <c r="E26" s="7" t="n">
        <f aca="false">DATEDIF(D26,'Chú giải'!$B$3,"Y")</f>
        <v>21</v>
      </c>
      <c r="F26" s="8" t="s">
        <v>180</v>
      </c>
      <c r="G26" s="8" t="s">
        <v>266</v>
      </c>
      <c r="H26" s="10" t="s">
        <v>267</v>
      </c>
      <c r="I26" s="8" t="s">
        <v>268</v>
      </c>
      <c r="J26" s="8" t="s">
        <v>269</v>
      </c>
      <c r="K26" s="8" t="s">
        <v>270</v>
      </c>
      <c r="L26" s="8" t="s">
        <v>271</v>
      </c>
      <c r="M26" s="7" t="s">
        <v>72</v>
      </c>
      <c r="N26" s="7" t="s">
        <v>60</v>
      </c>
      <c r="O26" s="7" t="s">
        <v>60</v>
      </c>
      <c r="P26" s="7" t="n">
        <v>6</v>
      </c>
      <c r="Q26" s="11" t="n">
        <v>2.5</v>
      </c>
      <c r="R26" s="11" t="n">
        <v>3</v>
      </c>
      <c r="S26" s="8"/>
      <c r="T26" s="9" t="n">
        <v>46344</v>
      </c>
      <c r="U26" s="7" t="n">
        <v>12</v>
      </c>
      <c r="V26" s="7" t="n">
        <v>3</v>
      </c>
      <c r="W26" s="7" t="n">
        <v>3</v>
      </c>
      <c r="X26" s="7" t="n">
        <v>1</v>
      </c>
      <c r="Y26" s="7" t="n">
        <v>4</v>
      </c>
      <c r="Z26" s="7" t="n">
        <v>2</v>
      </c>
      <c r="AA26" s="7" t="n">
        <v>3</v>
      </c>
      <c r="AB26" s="7" t="n">
        <v>2</v>
      </c>
      <c r="AC26" s="7" t="n">
        <v>1</v>
      </c>
      <c r="AD26" s="7" t="n">
        <v>1</v>
      </c>
      <c r="AE26" s="7" t="n">
        <v>1</v>
      </c>
      <c r="AF26" s="7" t="n">
        <v>2</v>
      </c>
      <c r="AG26" s="7" t="n">
        <v>1</v>
      </c>
      <c r="AH26" s="7" t="n">
        <v>1</v>
      </c>
      <c r="AI26" s="7" t="n">
        <v>2</v>
      </c>
      <c r="AJ26" s="7" t="n">
        <v>3</v>
      </c>
      <c r="AK26" s="7" t="n">
        <v>4</v>
      </c>
      <c r="AL26" s="7" t="n">
        <v>4</v>
      </c>
      <c r="AM26" s="7"/>
      <c r="AN26" s="7" t="n">
        <v>0</v>
      </c>
      <c r="AO26" s="7"/>
      <c r="AP26" s="7"/>
      <c r="AQ26" s="7" t="n">
        <v>0</v>
      </c>
      <c r="AR26" s="7"/>
      <c r="AS26" s="7" t="n">
        <v>1</v>
      </c>
      <c r="AT26" s="7" t="s">
        <v>62</v>
      </c>
      <c r="AU26" s="7"/>
      <c r="AV26" s="7"/>
    </row>
    <row r="27" customFormat="false" ht="15" hidden="false" customHeight="false" outlineLevel="0" collapsed="false">
      <c r="A27" s="12" t="s">
        <v>272</v>
      </c>
      <c r="B27" s="13" t="s">
        <v>273</v>
      </c>
      <c r="C27" s="12" t="s">
        <v>50</v>
      </c>
      <c r="D27" s="14" t="n">
        <v>37002</v>
      </c>
      <c r="E27" s="12" t="n">
        <f aca="false">DATEDIF(D27,'Chú giải'!$B$3,"Y")</f>
        <v>25</v>
      </c>
      <c r="F27" s="13" t="s">
        <v>65</v>
      </c>
      <c r="G27" s="13" t="s">
        <v>66</v>
      </c>
      <c r="H27" s="15" t="s">
        <v>274</v>
      </c>
      <c r="I27" s="13" t="s">
        <v>275</v>
      </c>
      <c r="J27" s="13" t="s">
        <v>276</v>
      </c>
      <c r="K27" s="13" t="s">
        <v>277</v>
      </c>
      <c r="L27" s="13" t="s">
        <v>129</v>
      </c>
      <c r="M27" s="12" t="s">
        <v>72</v>
      </c>
      <c r="N27" s="12" t="s">
        <v>60</v>
      </c>
      <c r="O27" s="12" t="s">
        <v>60</v>
      </c>
      <c r="P27" s="12" t="n">
        <v>6</v>
      </c>
      <c r="Q27" s="16" t="n">
        <v>3</v>
      </c>
      <c r="R27" s="16" t="n">
        <v>3.5</v>
      </c>
      <c r="S27" s="13"/>
      <c r="T27" s="14" t="n">
        <v>46327</v>
      </c>
      <c r="U27" s="12" t="n">
        <v>6</v>
      </c>
      <c r="V27" s="12" t="n">
        <v>3</v>
      </c>
      <c r="W27" s="12" t="n">
        <v>3</v>
      </c>
      <c r="X27" s="12" t="n">
        <v>1</v>
      </c>
      <c r="Y27" s="12" t="n">
        <v>2</v>
      </c>
      <c r="Z27" s="12" t="n">
        <v>2</v>
      </c>
      <c r="AA27" s="12" t="n">
        <v>2</v>
      </c>
      <c r="AB27" s="12" t="n">
        <v>2</v>
      </c>
      <c r="AC27" s="12" t="n">
        <v>1</v>
      </c>
      <c r="AD27" s="12" t="n">
        <v>2</v>
      </c>
      <c r="AE27" s="12" t="n">
        <v>1</v>
      </c>
      <c r="AF27" s="12" t="n">
        <v>1</v>
      </c>
      <c r="AG27" s="12" t="n">
        <v>1</v>
      </c>
      <c r="AH27" s="12" t="n">
        <v>3</v>
      </c>
      <c r="AI27" s="12" t="n">
        <v>2</v>
      </c>
      <c r="AJ27" s="12" t="n">
        <v>2</v>
      </c>
      <c r="AK27" s="12" t="n">
        <v>2</v>
      </c>
      <c r="AL27" s="12" t="n">
        <v>1</v>
      </c>
      <c r="AM27" s="12"/>
      <c r="AN27" s="12" t="n">
        <v>0</v>
      </c>
      <c r="AO27" s="12"/>
      <c r="AP27" s="12"/>
      <c r="AQ27" s="12" t="n">
        <v>0</v>
      </c>
      <c r="AR27" s="12"/>
      <c r="AS27" s="12" t="n">
        <v>0</v>
      </c>
      <c r="AT27" s="12" t="s">
        <v>73</v>
      </c>
      <c r="AU27" s="12" t="s">
        <v>278</v>
      </c>
      <c r="AV27" s="12" t="s">
        <v>279</v>
      </c>
    </row>
    <row r="28" customFormat="false" ht="15" hidden="false" customHeight="false" outlineLevel="0" collapsed="false">
      <c r="A28" s="12" t="s">
        <v>280</v>
      </c>
      <c r="B28" s="13" t="s">
        <v>281</v>
      </c>
      <c r="C28" s="12" t="s">
        <v>78</v>
      </c>
      <c r="D28" s="14" t="n">
        <v>37686</v>
      </c>
      <c r="E28" s="12" t="n">
        <f aca="false">DATEDIF(D28,'Chú giải'!$B$3,"Y")</f>
        <v>23</v>
      </c>
      <c r="F28" s="13" t="s">
        <v>65</v>
      </c>
      <c r="G28" s="13" t="s">
        <v>99</v>
      </c>
      <c r="H28" s="15" t="s">
        <v>282</v>
      </c>
      <c r="I28" s="13" t="s">
        <v>283</v>
      </c>
      <c r="J28" s="13" t="s">
        <v>284</v>
      </c>
      <c r="K28" s="13" t="s">
        <v>285</v>
      </c>
      <c r="L28" s="13" t="s">
        <v>57</v>
      </c>
      <c r="M28" s="12" t="s">
        <v>72</v>
      </c>
      <c r="N28" s="12" t="s">
        <v>60</v>
      </c>
      <c r="O28" s="12" t="s">
        <v>60</v>
      </c>
      <c r="P28" s="12" t="n">
        <v>6</v>
      </c>
      <c r="Q28" s="16" t="n">
        <v>3</v>
      </c>
      <c r="R28" s="16" t="n">
        <v>3.5</v>
      </c>
      <c r="S28" s="13"/>
      <c r="T28" s="14" t="n">
        <v>46327</v>
      </c>
      <c r="U28" s="12" t="n">
        <v>6</v>
      </c>
      <c r="V28" s="12" t="n">
        <v>3</v>
      </c>
      <c r="W28" s="12"/>
      <c r="X28" s="12" t="n">
        <v>1</v>
      </c>
      <c r="Y28" s="12" t="n">
        <v>2</v>
      </c>
      <c r="Z28" s="12"/>
      <c r="AA28" s="12" t="n">
        <v>2</v>
      </c>
      <c r="AB28" s="12" t="n">
        <v>2</v>
      </c>
      <c r="AC28" s="12" t="n">
        <v>1</v>
      </c>
      <c r="AD28" s="12" t="n">
        <v>2</v>
      </c>
      <c r="AE28" s="12" t="n">
        <v>1</v>
      </c>
      <c r="AF28" s="12" t="n">
        <v>1</v>
      </c>
      <c r="AG28" s="12" t="n">
        <v>1</v>
      </c>
      <c r="AH28" s="12"/>
      <c r="AI28" s="12" t="n">
        <v>2</v>
      </c>
      <c r="AJ28" s="12" t="n">
        <v>2</v>
      </c>
      <c r="AK28" s="12" t="n">
        <v>2</v>
      </c>
      <c r="AL28" s="12" t="n">
        <v>1</v>
      </c>
      <c r="AM28" s="12"/>
      <c r="AN28" s="12" t="n">
        <v>0</v>
      </c>
      <c r="AO28" s="12"/>
      <c r="AP28" s="12"/>
      <c r="AQ28" s="12" t="n">
        <v>0</v>
      </c>
      <c r="AR28" s="12"/>
      <c r="AS28" s="12" t="n">
        <v>0</v>
      </c>
      <c r="AT28" s="12" t="s">
        <v>73</v>
      </c>
      <c r="AU28" s="12" t="s">
        <v>286</v>
      </c>
      <c r="AV28" s="12" t="s">
        <v>287</v>
      </c>
    </row>
    <row r="29" customFormat="false" ht="15" hidden="false" customHeight="false" outlineLevel="0" collapsed="false">
      <c r="A29" s="7" t="s">
        <v>288</v>
      </c>
      <c r="B29" s="8" t="s">
        <v>289</v>
      </c>
      <c r="C29" s="7" t="s">
        <v>50</v>
      </c>
      <c r="D29" s="9" t="n">
        <v>37670</v>
      </c>
      <c r="E29" s="7" t="n">
        <f aca="false">DATEDIF(D29,'Chú giải'!$B$3,"Y")</f>
        <v>23</v>
      </c>
      <c r="F29" s="8" t="s">
        <v>290</v>
      </c>
      <c r="G29" s="8" t="s">
        <v>291</v>
      </c>
      <c r="H29" s="10" t="s">
        <v>292</v>
      </c>
      <c r="I29" s="8" t="s">
        <v>293</v>
      </c>
      <c r="J29" s="8" t="s">
        <v>294</v>
      </c>
      <c r="K29" s="8" t="s">
        <v>295</v>
      </c>
      <c r="L29" s="8" t="s">
        <v>149</v>
      </c>
      <c r="M29" s="7" t="s">
        <v>58</v>
      </c>
      <c r="N29" s="7" t="s">
        <v>59</v>
      </c>
      <c r="O29" s="7" t="s">
        <v>60</v>
      </c>
      <c r="P29" s="7" t="n">
        <v>6</v>
      </c>
      <c r="Q29" s="11" t="n">
        <v>6</v>
      </c>
      <c r="R29" s="11" t="n">
        <v>6.5</v>
      </c>
      <c r="S29" s="8" t="s">
        <v>296</v>
      </c>
      <c r="T29" s="9" t="n">
        <v>46354</v>
      </c>
      <c r="U29" s="7" t="n">
        <v>6</v>
      </c>
      <c r="V29" s="7" t="n">
        <v>6</v>
      </c>
      <c r="W29" s="7" t="n">
        <v>3</v>
      </c>
      <c r="X29" s="7" t="n">
        <v>2</v>
      </c>
      <c r="Y29" s="7" t="n">
        <v>3</v>
      </c>
      <c r="Z29" s="7" t="n">
        <v>3</v>
      </c>
      <c r="AA29" s="7" t="n">
        <v>2</v>
      </c>
      <c r="AB29" s="7" t="n">
        <v>3</v>
      </c>
      <c r="AC29" s="7" t="n">
        <v>3</v>
      </c>
      <c r="AD29" s="7" t="n">
        <v>3</v>
      </c>
      <c r="AE29" s="7" t="n">
        <v>1</v>
      </c>
      <c r="AF29" s="7" t="n">
        <v>1</v>
      </c>
      <c r="AG29" s="7" t="n">
        <v>1</v>
      </c>
      <c r="AH29" s="7" t="n">
        <v>1</v>
      </c>
      <c r="AI29" s="7" t="n">
        <v>3</v>
      </c>
      <c r="AJ29" s="7" t="n">
        <v>3</v>
      </c>
      <c r="AK29" s="7" t="n">
        <v>1</v>
      </c>
      <c r="AL29" s="7" t="n">
        <v>1</v>
      </c>
      <c r="AM29" s="7"/>
      <c r="AN29" s="7" t="n">
        <v>0</v>
      </c>
      <c r="AO29" s="7"/>
      <c r="AP29" s="7"/>
      <c r="AQ29" s="7" t="n">
        <v>0</v>
      </c>
      <c r="AR29" s="7"/>
      <c r="AS29" s="7" t="n">
        <v>0</v>
      </c>
      <c r="AT29" s="7" t="s">
        <v>62</v>
      </c>
      <c r="AU29" s="7"/>
      <c r="AV29" s="7"/>
    </row>
    <row r="30" customFormat="false" ht="15" hidden="false" customHeight="false" outlineLevel="0" collapsed="false">
      <c r="A30" s="12" t="s">
        <v>297</v>
      </c>
      <c r="B30" s="13" t="s">
        <v>298</v>
      </c>
      <c r="C30" s="12" t="s">
        <v>78</v>
      </c>
      <c r="D30" s="14" t="n">
        <v>37049</v>
      </c>
      <c r="E30" s="12" t="n">
        <f aca="false">DATEDIF(D30,'Chú giải'!$B$3,"Y")</f>
        <v>25</v>
      </c>
      <c r="F30" s="13" t="s">
        <v>65</v>
      </c>
      <c r="G30" s="13" t="s">
        <v>66</v>
      </c>
      <c r="H30" s="15" t="s">
        <v>299</v>
      </c>
      <c r="I30" s="13" t="s">
        <v>300</v>
      </c>
      <c r="J30" s="13" t="s">
        <v>301</v>
      </c>
      <c r="K30" s="13" t="s">
        <v>252</v>
      </c>
      <c r="L30" s="13" t="s">
        <v>113</v>
      </c>
      <c r="M30" s="12" t="s">
        <v>72</v>
      </c>
      <c r="N30" s="12" t="s">
        <v>60</v>
      </c>
      <c r="O30" s="12" t="s">
        <v>60</v>
      </c>
      <c r="P30" s="12" t="n">
        <v>6</v>
      </c>
      <c r="Q30" s="16" t="n">
        <v>3</v>
      </c>
      <c r="R30" s="16" t="n">
        <v>3.5</v>
      </c>
      <c r="S30" s="13"/>
      <c r="T30" s="14" t="n">
        <v>46327</v>
      </c>
      <c r="U30" s="12" t="n">
        <v>6</v>
      </c>
      <c r="V30" s="12" t="n">
        <v>3</v>
      </c>
      <c r="W30" s="12" t="n">
        <v>2</v>
      </c>
      <c r="X30" s="12" t="n">
        <v>1</v>
      </c>
      <c r="Y30" s="12" t="n">
        <v>3</v>
      </c>
      <c r="Z30" s="12" t="n">
        <v>2</v>
      </c>
      <c r="AA30" s="12" t="n">
        <v>2</v>
      </c>
      <c r="AB30" s="12" t="n">
        <v>1</v>
      </c>
      <c r="AC30" s="12" t="n">
        <v>1</v>
      </c>
      <c r="AD30" s="12" t="n">
        <v>2</v>
      </c>
      <c r="AE30" s="12" t="n">
        <v>1</v>
      </c>
      <c r="AF30" s="12" t="n">
        <v>1</v>
      </c>
      <c r="AG30" s="12" t="n">
        <v>1</v>
      </c>
      <c r="AH30" s="12" t="n">
        <v>2</v>
      </c>
      <c r="AI30" s="12" t="n">
        <v>2</v>
      </c>
      <c r="AJ30" s="12" t="n">
        <v>2</v>
      </c>
      <c r="AK30" s="12" t="n">
        <v>3</v>
      </c>
      <c r="AL30" s="12" t="n">
        <v>1</v>
      </c>
      <c r="AM30" s="12"/>
      <c r="AN30" s="12" t="n">
        <v>0</v>
      </c>
      <c r="AO30" s="12"/>
      <c r="AP30" s="12"/>
      <c r="AQ30" s="12" t="n">
        <v>0</v>
      </c>
      <c r="AR30" s="12"/>
      <c r="AS30" s="12" t="n">
        <v>0</v>
      </c>
      <c r="AT30" s="12" t="s">
        <v>73</v>
      </c>
      <c r="AU30" s="12" t="s">
        <v>193</v>
      </c>
      <c r="AV30" s="12" t="s">
        <v>302</v>
      </c>
    </row>
    <row r="31" customFormat="false" ht="15" hidden="false" customHeight="false" outlineLevel="0" collapsed="false">
      <c r="A31" s="12" t="s">
        <v>303</v>
      </c>
      <c r="B31" s="13" t="s">
        <v>304</v>
      </c>
      <c r="C31" s="12" t="s">
        <v>50</v>
      </c>
      <c r="D31" s="14" t="n">
        <v>36993</v>
      </c>
      <c r="E31" s="12" t="n">
        <f aca="false">DATEDIF(D31,'Chú giải'!$B$3,"Y")</f>
        <v>25</v>
      </c>
      <c r="F31" s="13" t="s">
        <v>65</v>
      </c>
      <c r="G31" s="13" t="s">
        <v>66</v>
      </c>
      <c r="H31" s="15" t="s">
        <v>305</v>
      </c>
      <c r="I31" s="13" t="s">
        <v>306</v>
      </c>
      <c r="J31" s="13" t="s">
        <v>307</v>
      </c>
      <c r="K31" s="13" t="s">
        <v>308</v>
      </c>
      <c r="L31" s="13" t="s">
        <v>129</v>
      </c>
      <c r="M31" s="12" t="s">
        <v>72</v>
      </c>
      <c r="N31" s="12" t="s">
        <v>60</v>
      </c>
      <c r="O31" s="12" t="s">
        <v>60</v>
      </c>
      <c r="P31" s="12" t="n">
        <v>6</v>
      </c>
      <c r="Q31" s="16" t="n">
        <v>3</v>
      </c>
      <c r="R31" s="16" t="n">
        <v>3.5</v>
      </c>
      <c r="S31" s="13"/>
      <c r="T31" s="14" t="n">
        <v>46349</v>
      </c>
      <c r="U31" s="12" t="n">
        <v>6</v>
      </c>
      <c r="V31" s="12" t="n">
        <v>3</v>
      </c>
      <c r="W31" s="12" t="n">
        <v>2</v>
      </c>
      <c r="X31" s="12" t="n">
        <v>1</v>
      </c>
      <c r="Y31" s="12" t="n">
        <v>2</v>
      </c>
      <c r="Z31" s="12" t="n">
        <v>2</v>
      </c>
      <c r="AA31" s="12" t="n">
        <v>2</v>
      </c>
      <c r="AB31" s="12" t="n">
        <v>2</v>
      </c>
      <c r="AC31" s="12" t="n">
        <v>1</v>
      </c>
      <c r="AD31" s="12" t="n">
        <v>2</v>
      </c>
      <c r="AE31" s="12" t="n">
        <v>1</v>
      </c>
      <c r="AF31" s="12" t="n">
        <v>1</v>
      </c>
      <c r="AG31" s="12" t="n">
        <v>1</v>
      </c>
      <c r="AH31" s="12" t="n">
        <v>2</v>
      </c>
      <c r="AI31" s="12" t="n">
        <v>2</v>
      </c>
      <c r="AJ31" s="12" t="n">
        <v>2</v>
      </c>
      <c r="AK31" s="12" t="n">
        <v>2</v>
      </c>
      <c r="AL31" s="12" t="n">
        <v>1</v>
      </c>
      <c r="AM31" s="12"/>
      <c r="AN31" s="12" t="n">
        <v>0</v>
      </c>
      <c r="AO31" s="12"/>
      <c r="AP31" s="12"/>
      <c r="AQ31" s="12" t="n">
        <v>0</v>
      </c>
      <c r="AR31" s="12"/>
      <c r="AS31" s="12" t="n">
        <v>0</v>
      </c>
      <c r="AT31" s="12" t="s">
        <v>73</v>
      </c>
      <c r="AU31" s="12" t="s">
        <v>309</v>
      </c>
      <c r="AV31" s="12" t="s">
        <v>310</v>
      </c>
    </row>
    <row r="32" customFormat="false" ht="15" hidden="false" customHeight="false" outlineLevel="0" collapsed="false">
      <c r="A32" s="12" t="s">
        <v>311</v>
      </c>
      <c r="B32" s="13" t="s">
        <v>312</v>
      </c>
      <c r="C32" s="12" t="s">
        <v>50</v>
      </c>
      <c r="D32" s="14" t="n">
        <v>36952</v>
      </c>
      <c r="E32" s="12" t="n">
        <f aca="false">DATEDIF(D32,'Chú giải'!$B$3,"Y")</f>
        <v>25</v>
      </c>
      <c r="F32" s="13" t="s">
        <v>65</v>
      </c>
      <c r="G32" s="13" t="s">
        <v>66</v>
      </c>
      <c r="H32" s="15" t="s">
        <v>313</v>
      </c>
      <c r="I32" s="13" t="s">
        <v>314</v>
      </c>
      <c r="J32" s="13" t="s">
        <v>315</v>
      </c>
      <c r="K32" s="13" t="s">
        <v>70</v>
      </c>
      <c r="L32" s="13" t="s">
        <v>71</v>
      </c>
      <c r="M32" s="12" t="s">
        <v>72</v>
      </c>
      <c r="N32" s="12" t="s">
        <v>60</v>
      </c>
      <c r="O32" s="12" t="s">
        <v>60</v>
      </c>
      <c r="P32" s="12" t="n">
        <v>6</v>
      </c>
      <c r="Q32" s="16" t="n">
        <v>3</v>
      </c>
      <c r="R32" s="16" t="n">
        <v>3.5</v>
      </c>
      <c r="S32" s="13"/>
      <c r="T32" s="14" t="n">
        <v>46327</v>
      </c>
      <c r="U32" s="12" t="n">
        <v>6</v>
      </c>
      <c r="V32" s="12" t="n">
        <v>3</v>
      </c>
      <c r="W32" s="12" t="n">
        <v>2</v>
      </c>
      <c r="X32" s="12" t="n">
        <v>1</v>
      </c>
      <c r="Y32" s="12" t="n">
        <v>2</v>
      </c>
      <c r="Z32" s="12" t="n">
        <v>2</v>
      </c>
      <c r="AA32" s="12" t="n">
        <v>2</v>
      </c>
      <c r="AB32" s="12" t="n">
        <v>2</v>
      </c>
      <c r="AC32" s="12" t="n">
        <v>1</v>
      </c>
      <c r="AD32" s="12" t="n">
        <v>2</v>
      </c>
      <c r="AE32" s="12" t="n">
        <v>1</v>
      </c>
      <c r="AF32" s="12" t="n">
        <v>1</v>
      </c>
      <c r="AG32" s="12" t="n">
        <v>1</v>
      </c>
      <c r="AH32" s="12" t="n">
        <v>2</v>
      </c>
      <c r="AI32" s="12" t="n">
        <v>2</v>
      </c>
      <c r="AJ32" s="12" t="n">
        <v>2</v>
      </c>
      <c r="AK32" s="12" t="n">
        <v>2</v>
      </c>
      <c r="AL32" s="12" t="n">
        <v>1</v>
      </c>
      <c r="AM32" s="12"/>
      <c r="AN32" s="12" t="n">
        <v>0</v>
      </c>
      <c r="AO32" s="12"/>
      <c r="AP32" s="12"/>
      <c r="AQ32" s="12" t="n">
        <v>0</v>
      </c>
      <c r="AR32" s="12"/>
      <c r="AS32" s="12" t="n">
        <v>0</v>
      </c>
      <c r="AT32" s="12" t="s">
        <v>73</v>
      </c>
      <c r="AU32" s="12" t="s">
        <v>316</v>
      </c>
      <c r="AV32" s="12" t="s">
        <v>317</v>
      </c>
    </row>
    <row r="33" customFormat="false" ht="15" hidden="false" customHeight="false" outlineLevel="0" collapsed="false">
      <c r="A33" s="7" t="s">
        <v>318</v>
      </c>
      <c r="B33" s="8" t="s">
        <v>319</v>
      </c>
      <c r="C33" s="7" t="s">
        <v>78</v>
      </c>
      <c r="D33" s="9" t="n">
        <v>33988</v>
      </c>
      <c r="E33" s="7" t="n">
        <f aca="false">DATEDIF(D33,'Chú giải'!$B$3,"Y")</f>
        <v>33</v>
      </c>
      <c r="F33" s="8" t="s">
        <v>320</v>
      </c>
      <c r="G33" s="8" t="s">
        <v>248</v>
      </c>
      <c r="H33" s="10" t="s">
        <v>321</v>
      </c>
      <c r="I33" s="8" t="s">
        <v>322</v>
      </c>
      <c r="J33" s="8" t="s">
        <v>323</v>
      </c>
      <c r="K33" s="8" t="s">
        <v>128</v>
      </c>
      <c r="L33" s="8" t="s">
        <v>129</v>
      </c>
      <c r="M33" s="7" t="s">
        <v>211</v>
      </c>
      <c r="N33" s="7" t="s">
        <v>60</v>
      </c>
      <c r="O33" s="7" t="s">
        <v>60</v>
      </c>
      <c r="P33" s="7" t="n">
        <v>8</v>
      </c>
      <c r="Q33" s="11" t="n">
        <v>3.5</v>
      </c>
      <c r="R33" s="11" t="n">
        <v>5</v>
      </c>
      <c r="S33" s="8" t="s">
        <v>129</v>
      </c>
      <c r="T33" s="9" t="n">
        <v>46310</v>
      </c>
      <c r="U33" s="7" t="n">
        <v>3</v>
      </c>
      <c r="V33" s="7" t="n">
        <v>3</v>
      </c>
      <c r="W33" s="7" t="n">
        <v>3</v>
      </c>
      <c r="X33" s="7" t="n">
        <v>1</v>
      </c>
      <c r="Y33" s="7" t="n">
        <v>4</v>
      </c>
      <c r="Z33" s="7" t="n">
        <v>3</v>
      </c>
      <c r="AA33" s="7" t="n">
        <v>3</v>
      </c>
      <c r="AB33" s="7" t="n">
        <v>1</v>
      </c>
      <c r="AC33" s="7" t="n">
        <v>3</v>
      </c>
      <c r="AD33" s="7" t="n">
        <v>1</v>
      </c>
      <c r="AE33" s="7" t="n">
        <v>1</v>
      </c>
      <c r="AF33" s="7" t="n">
        <v>1</v>
      </c>
      <c r="AG33" s="7" t="n">
        <v>2</v>
      </c>
      <c r="AH33" s="7" t="n">
        <v>2</v>
      </c>
      <c r="AI33" s="7" t="n">
        <v>1</v>
      </c>
      <c r="AJ33" s="7" t="n">
        <v>4</v>
      </c>
      <c r="AK33" s="7" t="n">
        <v>2</v>
      </c>
      <c r="AL33" s="7" t="n">
        <v>1</v>
      </c>
      <c r="AM33" s="7" t="n">
        <v>59</v>
      </c>
      <c r="AN33" s="7" t="n">
        <v>6</v>
      </c>
      <c r="AO33" s="7" t="n">
        <v>78</v>
      </c>
      <c r="AP33" s="7" t="n">
        <v>3.3</v>
      </c>
      <c r="AQ33" s="7" t="n">
        <v>0</v>
      </c>
      <c r="AR33" s="7"/>
      <c r="AS33" s="7" t="n">
        <v>0</v>
      </c>
      <c r="AT33" s="7" t="s">
        <v>62</v>
      </c>
      <c r="AU33" s="7"/>
      <c r="AV33" s="7"/>
    </row>
    <row r="34" customFormat="false" ht="15" hidden="false" customHeight="false" outlineLevel="0" collapsed="false">
      <c r="A34" s="7" t="s">
        <v>324</v>
      </c>
      <c r="B34" s="8" t="s">
        <v>325</v>
      </c>
      <c r="C34" s="7" t="s">
        <v>50</v>
      </c>
      <c r="D34" s="9" t="n">
        <v>37282</v>
      </c>
      <c r="E34" s="7" t="n">
        <f aca="false">DATEDIF(D34,'Chú giải'!$B$3,"Y")</f>
        <v>24</v>
      </c>
      <c r="F34" s="8" t="s">
        <v>320</v>
      </c>
      <c r="G34" s="8" t="s">
        <v>248</v>
      </c>
      <c r="H34" s="10" t="s">
        <v>326</v>
      </c>
      <c r="I34" s="8" t="s">
        <v>327</v>
      </c>
      <c r="J34" s="8" t="s">
        <v>328</v>
      </c>
      <c r="K34" s="8" t="s">
        <v>192</v>
      </c>
      <c r="L34" s="8" t="s">
        <v>104</v>
      </c>
      <c r="M34" s="7" t="s">
        <v>72</v>
      </c>
      <c r="N34" s="7" t="s">
        <v>60</v>
      </c>
      <c r="O34" s="7" t="s">
        <v>59</v>
      </c>
      <c r="P34" s="7" t="n">
        <v>6</v>
      </c>
      <c r="Q34" s="11" t="n">
        <v>4</v>
      </c>
      <c r="R34" s="11" t="n">
        <v>4.5</v>
      </c>
      <c r="S34" s="8" t="s">
        <v>329</v>
      </c>
      <c r="T34" s="9" t="n">
        <v>46319</v>
      </c>
      <c r="U34" s="7" t="n">
        <v>6</v>
      </c>
      <c r="V34" s="7" t="n">
        <v>3</v>
      </c>
      <c r="W34" s="7" t="n">
        <v>1</v>
      </c>
      <c r="X34" s="7" t="n">
        <v>3</v>
      </c>
      <c r="Y34" s="7" t="n">
        <v>3</v>
      </c>
      <c r="Z34" s="7" t="n">
        <v>4</v>
      </c>
      <c r="AA34" s="7" t="n">
        <v>4</v>
      </c>
      <c r="AB34" s="7" t="n">
        <v>2</v>
      </c>
      <c r="AC34" s="7" t="n">
        <v>2</v>
      </c>
      <c r="AD34" s="7" t="n">
        <v>1</v>
      </c>
      <c r="AE34" s="7" t="n">
        <v>1</v>
      </c>
      <c r="AF34" s="7" t="n">
        <v>1</v>
      </c>
      <c r="AG34" s="7" t="n">
        <v>1</v>
      </c>
      <c r="AH34" s="7" t="n">
        <v>2</v>
      </c>
      <c r="AI34" s="7" t="n">
        <v>2</v>
      </c>
      <c r="AJ34" s="7" t="n">
        <v>1</v>
      </c>
      <c r="AK34" s="7" t="n">
        <v>2</v>
      </c>
      <c r="AL34" s="7" t="n">
        <v>1</v>
      </c>
      <c r="AM34" s="7" t="n">
        <v>99</v>
      </c>
      <c r="AN34" s="7" t="n">
        <v>6</v>
      </c>
      <c r="AO34" s="7" t="n">
        <v>98</v>
      </c>
      <c r="AP34" s="7" t="n">
        <v>3.4</v>
      </c>
      <c r="AQ34" s="7" t="n">
        <v>2</v>
      </c>
      <c r="AR34" s="7" t="n">
        <v>3.6</v>
      </c>
      <c r="AS34" s="7" t="n">
        <v>0</v>
      </c>
      <c r="AT34" s="7" t="s">
        <v>62</v>
      </c>
      <c r="AU34" s="7"/>
      <c r="AV34" s="7"/>
    </row>
    <row r="35" customFormat="false" ht="15" hidden="false" customHeight="false" outlineLevel="0" collapsed="false">
      <c r="A35" s="12" t="s">
        <v>330</v>
      </c>
      <c r="B35" s="13" t="s">
        <v>331</v>
      </c>
      <c r="C35" s="12" t="s">
        <v>50</v>
      </c>
      <c r="D35" s="14" t="n">
        <v>37644</v>
      </c>
      <c r="E35" s="12" t="n">
        <f aca="false">DATEDIF(D35,'Chú giải'!$B$3,"Y")</f>
        <v>23</v>
      </c>
      <c r="F35" s="13" t="s">
        <v>65</v>
      </c>
      <c r="G35" s="13" t="s">
        <v>99</v>
      </c>
      <c r="H35" s="15" t="s">
        <v>332</v>
      </c>
      <c r="I35" s="13" t="s">
        <v>333</v>
      </c>
      <c r="J35" s="13" t="s">
        <v>334</v>
      </c>
      <c r="K35" s="13" t="s">
        <v>202</v>
      </c>
      <c r="L35" s="13" t="s">
        <v>113</v>
      </c>
      <c r="M35" s="12" t="s">
        <v>72</v>
      </c>
      <c r="N35" s="12" t="s">
        <v>60</v>
      </c>
      <c r="O35" s="12" t="s">
        <v>60</v>
      </c>
      <c r="P35" s="12" t="n">
        <v>6</v>
      </c>
      <c r="Q35" s="16" t="n">
        <v>3</v>
      </c>
      <c r="R35" s="16" t="n">
        <v>3.5</v>
      </c>
      <c r="S35" s="13"/>
      <c r="T35" s="14" t="n">
        <v>46327</v>
      </c>
      <c r="U35" s="12" t="n">
        <v>6</v>
      </c>
      <c r="V35" s="12" t="n">
        <v>3</v>
      </c>
      <c r="W35" s="12" t="n">
        <v>2</v>
      </c>
      <c r="X35" s="12" t="n">
        <v>3</v>
      </c>
      <c r="Y35" s="12" t="n">
        <v>2</v>
      </c>
      <c r="Z35" s="12" t="n">
        <v>2</v>
      </c>
      <c r="AA35" s="12" t="n">
        <v>2</v>
      </c>
      <c r="AB35" s="12" t="n">
        <v>2</v>
      </c>
      <c r="AC35" s="12" t="n">
        <v>1</v>
      </c>
      <c r="AD35" s="12" t="n">
        <v>2</v>
      </c>
      <c r="AE35" s="12" t="n">
        <v>1</v>
      </c>
      <c r="AF35" s="12" t="n">
        <v>1</v>
      </c>
      <c r="AG35" s="12" t="n">
        <v>1</v>
      </c>
      <c r="AH35" s="12" t="n">
        <v>2</v>
      </c>
      <c r="AI35" s="12" t="n">
        <v>2</v>
      </c>
      <c r="AJ35" s="12" t="n">
        <v>2</v>
      </c>
      <c r="AK35" s="12" t="n">
        <v>2</v>
      </c>
      <c r="AL35" s="12" t="n">
        <v>1</v>
      </c>
      <c r="AM35" s="12"/>
      <c r="AN35" s="12" t="n">
        <v>0</v>
      </c>
      <c r="AO35" s="12"/>
      <c r="AP35" s="12"/>
      <c r="AQ35" s="12" t="n">
        <v>0</v>
      </c>
      <c r="AR35" s="12"/>
      <c r="AS35" s="12" t="n">
        <v>0</v>
      </c>
      <c r="AT35" s="12" t="s">
        <v>73</v>
      </c>
      <c r="AU35" s="12" t="s">
        <v>335</v>
      </c>
      <c r="AV35" s="12" t="s">
        <v>336</v>
      </c>
    </row>
    <row r="36" customFormat="false" ht="15" hidden="false" customHeight="false" outlineLevel="0" collapsed="false">
      <c r="A36" s="7" t="s">
        <v>337</v>
      </c>
      <c r="B36" s="8" t="s">
        <v>338</v>
      </c>
      <c r="C36" s="7" t="s">
        <v>78</v>
      </c>
      <c r="D36" s="9" t="n">
        <v>37702</v>
      </c>
      <c r="E36" s="7" t="n">
        <f aca="false">DATEDIF(D36,'Chú giải'!$B$3,"Y")</f>
        <v>23</v>
      </c>
      <c r="F36" s="8" t="s">
        <v>339</v>
      </c>
      <c r="G36" s="8" t="s">
        <v>340</v>
      </c>
      <c r="H36" s="10" t="s">
        <v>341</v>
      </c>
      <c r="I36" s="8" t="s">
        <v>342</v>
      </c>
      <c r="J36" s="8" t="s">
        <v>343</v>
      </c>
      <c r="K36" s="8" t="s">
        <v>218</v>
      </c>
      <c r="L36" s="8" t="s">
        <v>94</v>
      </c>
      <c r="M36" s="7" t="s">
        <v>72</v>
      </c>
      <c r="N36" s="7" t="s">
        <v>59</v>
      </c>
      <c r="O36" s="7" t="s">
        <v>60</v>
      </c>
      <c r="P36" s="7" t="n">
        <v>6</v>
      </c>
      <c r="Q36" s="11" t="n">
        <v>3.5</v>
      </c>
      <c r="R36" s="11" t="n">
        <v>4</v>
      </c>
      <c r="S36" s="8" t="s">
        <v>71</v>
      </c>
      <c r="T36" s="9" t="n">
        <v>46333</v>
      </c>
      <c r="U36" s="7" t="n">
        <v>3</v>
      </c>
      <c r="V36" s="7" t="n">
        <v>3</v>
      </c>
      <c r="W36" s="7" t="n">
        <v>1</v>
      </c>
      <c r="X36" s="7" t="n">
        <v>2</v>
      </c>
      <c r="Y36" s="7"/>
      <c r="Z36" s="7" t="n">
        <v>3</v>
      </c>
      <c r="AA36" s="7" t="n">
        <v>4</v>
      </c>
      <c r="AB36" s="7" t="n">
        <v>3</v>
      </c>
      <c r="AC36" s="7" t="n">
        <v>2</v>
      </c>
      <c r="AD36" s="7" t="n">
        <v>1</v>
      </c>
      <c r="AE36" s="7" t="n">
        <v>2</v>
      </c>
      <c r="AF36" s="7" t="n">
        <v>1</v>
      </c>
      <c r="AG36" s="7" t="n">
        <v>1</v>
      </c>
      <c r="AH36" s="7" t="n">
        <v>2</v>
      </c>
      <c r="AI36" s="7" t="n">
        <v>2</v>
      </c>
      <c r="AJ36" s="7"/>
      <c r="AK36" s="7" t="n">
        <v>2</v>
      </c>
      <c r="AL36" s="7" t="n">
        <v>1</v>
      </c>
      <c r="AM36" s="7"/>
      <c r="AN36" s="7" t="n">
        <v>0</v>
      </c>
      <c r="AO36" s="7"/>
      <c r="AP36" s="7"/>
      <c r="AQ36" s="7" t="n">
        <v>0</v>
      </c>
      <c r="AR36" s="7"/>
      <c r="AS36" s="7" t="n">
        <v>0</v>
      </c>
      <c r="AT36" s="7" t="s">
        <v>86</v>
      </c>
      <c r="AU36" s="7"/>
      <c r="AV36" s="7" t="s">
        <v>344</v>
      </c>
    </row>
    <row r="37" customFormat="false" ht="15" hidden="false" customHeight="false" outlineLevel="0" collapsed="false">
      <c r="A37" s="7" t="s">
        <v>345</v>
      </c>
      <c r="B37" s="8" t="s">
        <v>346</v>
      </c>
      <c r="C37" s="7" t="s">
        <v>50</v>
      </c>
      <c r="D37" s="9" t="n">
        <v>33638</v>
      </c>
      <c r="E37" s="7" t="n">
        <f aca="false">DATEDIF(D37,'Chú giải'!$B$3,"Y")</f>
        <v>34</v>
      </c>
      <c r="F37" s="8" t="s">
        <v>159</v>
      </c>
      <c r="G37" s="8" t="s">
        <v>160</v>
      </c>
      <c r="H37" s="10" t="s">
        <v>347</v>
      </c>
      <c r="I37" s="8" t="s">
        <v>348</v>
      </c>
      <c r="J37" s="8" t="s">
        <v>349</v>
      </c>
      <c r="K37" s="8" t="s">
        <v>252</v>
      </c>
      <c r="L37" s="8" t="s">
        <v>113</v>
      </c>
      <c r="M37" s="7" t="s">
        <v>58</v>
      </c>
      <c r="N37" s="7" t="s">
        <v>60</v>
      </c>
      <c r="O37" s="7" t="s">
        <v>59</v>
      </c>
      <c r="P37" s="7" t="n">
        <v>4</v>
      </c>
      <c r="Q37" s="11" t="n">
        <v>6</v>
      </c>
      <c r="R37" s="11" t="n">
        <v>6</v>
      </c>
      <c r="S37" s="8" t="s">
        <v>85</v>
      </c>
      <c r="T37" s="9" t="n">
        <v>46333</v>
      </c>
      <c r="U37" s="7" t="n">
        <v>9</v>
      </c>
      <c r="V37" s="7" t="n">
        <v>6</v>
      </c>
      <c r="W37" s="7" t="n">
        <v>1</v>
      </c>
      <c r="X37" s="7" t="n">
        <v>1</v>
      </c>
      <c r="Y37" s="7" t="n">
        <v>2</v>
      </c>
      <c r="Z37" s="7" t="n">
        <v>3</v>
      </c>
      <c r="AA37" s="7" t="n">
        <v>3</v>
      </c>
      <c r="AB37" s="7" t="n">
        <v>1</v>
      </c>
      <c r="AC37" s="7" t="n">
        <v>2</v>
      </c>
      <c r="AD37" s="7" t="n">
        <v>2</v>
      </c>
      <c r="AE37" s="7" t="n">
        <v>1</v>
      </c>
      <c r="AF37" s="7" t="n">
        <v>1</v>
      </c>
      <c r="AG37" s="7" t="n">
        <v>1</v>
      </c>
      <c r="AH37" s="7" t="n">
        <v>2</v>
      </c>
      <c r="AI37" s="7" t="n">
        <v>2</v>
      </c>
      <c r="AJ37" s="7" t="n">
        <v>1</v>
      </c>
      <c r="AK37" s="7" t="n">
        <v>2</v>
      </c>
      <c r="AL37" s="7" t="n">
        <v>4</v>
      </c>
      <c r="AM37" s="7" t="n">
        <v>87</v>
      </c>
      <c r="AN37" s="7" t="n">
        <v>7</v>
      </c>
      <c r="AO37" s="7" t="n">
        <v>47</v>
      </c>
      <c r="AP37" s="7" t="n">
        <v>3.8</v>
      </c>
      <c r="AQ37" s="7" t="n">
        <v>0</v>
      </c>
      <c r="AR37" s="7"/>
      <c r="AS37" s="7" t="n">
        <v>0</v>
      </c>
      <c r="AT37" s="7" t="s">
        <v>62</v>
      </c>
      <c r="AU37" s="7"/>
      <c r="AV37" s="7"/>
    </row>
    <row r="38" customFormat="false" ht="15" hidden="false" customHeight="false" outlineLevel="0" collapsed="false">
      <c r="A38" s="12" t="s">
        <v>350</v>
      </c>
      <c r="B38" s="13" t="s">
        <v>351</v>
      </c>
      <c r="C38" s="12" t="s">
        <v>78</v>
      </c>
      <c r="D38" s="14" t="n">
        <v>36931</v>
      </c>
      <c r="E38" s="12" t="n">
        <f aca="false">DATEDIF(D38,'Chú giải'!$B$3,"Y")</f>
        <v>25</v>
      </c>
      <c r="F38" s="13" t="s">
        <v>65</v>
      </c>
      <c r="G38" s="13" t="s">
        <v>66</v>
      </c>
      <c r="H38" s="15" t="s">
        <v>352</v>
      </c>
      <c r="I38" s="13" t="s">
        <v>353</v>
      </c>
      <c r="J38" s="13" t="s">
        <v>354</v>
      </c>
      <c r="K38" s="13" t="s">
        <v>355</v>
      </c>
      <c r="L38" s="13" t="s">
        <v>149</v>
      </c>
      <c r="M38" s="12" t="s">
        <v>72</v>
      </c>
      <c r="N38" s="12" t="s">
        <v>60</v>
      </c>
      <c r="O38" s="12" t="s">
        <v>60</v>
      </c>
      <c r="P38" s="12" t="n">
        <v>6</v>
      </c>
      <c r="Q38" s="16" t="n">
        <v>3</v>
      </c>
      <c r="R38" s="16" t="n">
        <v>3.5</v>
      </c>
      <c r="S38" s="13"/>
      <c r="T38" s="14" t="n">
        <v>46327</v>
      </c>
      <c r="U38" s="12" t="n">
        <v>6</v>
      </c>
      <c r="V38" s="12" t="n">
        <v>3</v>
      </c>
      <c r="W38" s="12" t="n">
        <v>2</v>
      </c>
      <c r="X38" s="12" t="n">
        <v>1</v>
      </c>
      <c r="Y38" s="12" t="n">
        <v>2</v>
      </c>
      <c r="Z38" s="12" t="n">
        <v>2</v>
      </c>
      <c r="AA38" s="12" t="n">
        <v>2</v>
      </c>
      <c r="AB38" s="12" t="n">
        <v>2</v>
      </c>
      <c r="AC38" s="12" t="n">
        <v>1</v>
      </c>
      <c r="AD38" s="12" t="n">
        <v>2</v>
      </c>
      <c r="AE38" s="12" t="n">
        <v>1</v>
      </c>
      <c r="AF38" s="12" t="n">
        <v>1</v>
      </c>
      <c r="AG38" s="12" t="n">
        <v>2</v>
      </c>
      <c r="AH38" s="12" t="n">
        <v>2</v>
      </c>
      <c r="AI38" s="12" t="n">
        <v>2</v>
      </c>
      <c r="AJ38" s="12" t="n">
        <v>2</v>
      </c>
      <c r="AK38" s="12" t="n">
        <v>2</v>
      </c>
      <c r="AL38" s="12" t="n">
        <v>1</v>
      </c>
      <c r="AM38" s="12"/>
      <c r="AN38" s="12" t="n">
        <v>0</v>
      </c>
      <c r="AO38" s="12"/>
      <c r="AP38" s="12"/>
      <c r="AQ38" s="12" t="n">
        <v>0</v>
      </c>
      <c r="AR38" s="12"/>
      <c r="AS38" s="12" t="n">
        <v>0</v>
      </c>
      <c r="AT38" s="12" t="s">
        <v>73</v>
      </c>
      <c r="AU38" s="12" t="s">
        <v>219</v>
      </c>
      <c r="AV38" s="12" t="s">
        <v>356</v>
      </c>
    </row>
    <row r="39" customFormat="false" ht="15" hidden="false" customHeight="false" outlineLevel="0" collapsed="false">
      <c r="A39" s="12" t="s">
        <v>357</v>
      </c>
      <c r="B39" s="13" t="s">
        <v>358</v>
      </c>
      <c r="C39" s="12" t="s">
        <v>50</v>
      </c>
      <c r="D39" s="14" t="n">
        <v>36939</v>
      </c>
      <c r="E39" s="12" t="n">
        <f aca="false">DATEDIF(D39,'Chú giải'!$B$3,"Y")</f>
        <v>25</v>
      </c>
      <c r="F39" s="13" t="s">
        <v>65</v>
      </c>
      <c r="G39" s="13" t="s">
        <v>66</v>
      </c>
      <c r="H39" s="15" t="s">
        <v>359</v>
      </c>
      <c r="I39" s="13" t="s">
        <v>360</v>
      </c>
      <c r="J39" s="13" t="s">
        <v>361</v>
      </c>
      <c r="K39" s="13" t="s">
        <v>362</v>
      </c>
      <c r="L39" s="13" t="s">
        <v>94</v>
      </c>
      <c r="M39" s="12" t="s">
        <v>58</v>
      </c>
      <c r="N39" s="12" t="s">
        <v>60</v>
      </c>
      <c r="O39" s="12" t="s">
        <v>60</v>
      </c>
      <c r="P39" s="12" t="n">
        <v>6</v>
      </c>
      <c r="Q39" s="16" t="n">
        <v>3</v>
      </c>
      <c r="R39" s="16" t="n">
        <v>3.5</v>
      </c>
      <c r="S39" s="13"/>
      <c r="T39" s="14" t="n">
        <v>46327</v>
      </c>
      <c r="U39" s="12" t="n">
        <v>6</v>
      </c>
      <c r="V39" s="12" t="n">
        <v>3</v>
      </c>
      <c r="W39" s="12" t="n">
        <v>2</v>
      </c>
      <c r="X39" s="12" t="n">
        <v>1</v>
      </c>
      <c r="Y39" s="12" t="n">
        <v>2</v>
      </c>
      <c r="Z39" s="12" t="n">
        <v>2</v>
      </c>
      <c r="AA39" s="12" t="n">
        <v>2</v>
      </c>
      <c r="AB39" s="12" t="n">
        <v>2</v>
      </c>
      <c r="AC39" s="12" t="n">
        <v>1</v>
      </c>
      <c r="AD39" s="12" t="n">
        <v>2</v>
      </c>
      <c r="AE39" s="12" t="n">
        <v>1</v>
      </c>
      <c r="AF39" s="12" t="n">
        <v>1</v>
      </c>
      <c r="AG39" s="12" t="n">
        <v>1</v>
      </c>
      <c r="AH39" s="12" t="n">
        <v>2</v>
      </c>
      <c r="AI39" s="12" t="n">
        <v>2</v>
      </c>
      <c r="AJ39" s="12" t="n">
        <v>2</v>
      </c>
      <c r="AK39" s="12" t="n">
        <v>2</v>
      </c>
      <c r="AL39" s="12" t="n">
        <v>1</v>
      </c>
      <c r="AM39" s="12"/>
      <c r="AN39" s="12" t="n">
        <v>0</v>
      </c>
      <c r="AO39" s="12"/>
      <c r="AP39" s="12"/>
      <c r="AQ39" s="12" t="n">
        <v>0</v>
      </c>
      <c r="AR39" s="12"/>
      <c r="AS39" s="12" t="n">
        <v>0</v>
      </c>
      <c r="AT39" s="12" t="s">
        <v>73</v>
      </c>
      <c r="AU39" s="12" t="s">
        <v>363</v>
      </c>
      <c r="AV39" s="12" t="s">
        <v>364</v>
      </c>
    </row>
    <row r="40" customFormat="false" ht="15" hidden="false" customHeight="false" outlineLevel="0" collapsed="false">
      <c r="A40" s="7" t="s">
        <v>365</v>
      </c>
      <c r="B40" s="8" t="s">
        <v>366</v>
      </c>
      <c r="C40" s="7" t="s">
        <v>50</v>
      </c>
      <c r="D40" s="9" t="n">
        <v>36588</v>
      </c>
      <c r="E40" s="7" t="n">
        <f aca="false">DATEDIF(D40,'Chú giải'!$B$3,"Y")</f>
        <v>26</v>
      </c>
      <c r="F40" s="8" t="s">
        <v>206</v>
      </c>
      <c r="G40" s="8" t="s">
        <v>198</v>
      </c>
      <c r="H40" s="10" t="s">
        <v>367</v>
      </c>
      <c r="I40" s="8" t="s">
        <v>368</v>
      </c>
      <c r="J40" s="8" t="s">
        <v>369</v>
      </c>
      <c r="K40" s="8" t="s">
        <v>370</v>
      </c>
      <c r="L40" s="8" t="s">
        <v>71</v>
      </c>
      <c r="M40" s="7" t="s">
        <v>72</v>
      </c>
      <c r="N40" s="7" t="s">
        <v>59</v>
      </c>
      <c r="O40" s="7" t="s">
        <v>60</v>
      </c>
      <c r="P40" s="7" t="n">
        <v>6</v>
      </c>
      <c r="Q40" s="11" t="n">
        <v>6</v>
      </c>
      <c r="R40" s="11" t="n">
        <v>7.5</v>
      </c>
      <c r="S40" s="8"/>
      <c r="T40" s="9" t="n">
        <v>46314</v>
      </c>
      <c r="U40" s="7" t="n">
        <v>6</v>
      </c>
      <c r="V40" s="7" t="n">
        <v>3</v>
      </c>
      <c r="W40" s="7" t="n">
        <v>2</v>
      </c>
      <c r="X40" s="7" t="n">
        <v>1</v>
      </c>
      <c r="Y40" s="7" t="n">
        <v>2</v>
      </c>
      <c r="Z40" s="7" t="n">
        <v>3</v>
      </c>
      <c r="AA40" s="7" t="n">
        <v>4</v>
      </c>
      <c r="AB40" s="7" t="n">
        <v>1</v>
      </c>
      <c r="AC40" s="7" t="n">
        <v>1</v>
      </c>
      <c r="AD40" s="7" t="n">
        <v>2</v>
      </c>
      <c r="AE40" s="7" t="n">
        <v>1</v>
      </c>
      <c r="AF40" s="7" t="n">
        <v>1</v>
      </c>
      <c r="AG40" s="7" t="n">
        <v>1</v>
      </c>
      <c r="AH40" s="7" t="n">
        <v>1</v>
      </c>
      <c r="AI40" s="7" t="n">
        <v>2</v>
      </c>
      <c r="AJ40" s="7" t="n">
        <v>3</v>
      </c>
      <c r="AK40" s="7" t="n">
        <v>3</v>
      </c>
      <c r="AL40" s="7" t="n">
        <v>4</v>
      </c>
      <c r="AM40" s="7" t="n">
        <v>87</v>
      </c>
      <c r="AN40" s="7" t="n">
        <v>2</v>
      </c>
      <c r="AO40" s="7" t="n">
        <v>79</v>
      </c>
      <c r="AP40" s="7" t="n">
        <v>3.6</v>
      </c>
      <c r="AQ40" s="7" t="n">
        <v>1</v>
      </c>
      <c r="AR40" s="7" t="n">
        <v>4.1</v>
      </c>
      <c r="AS40" s="7" t="n">
        <v>0</v>
      </c>
      <c r="AT40" s="7" t="s">
        <v>62</v>
      </c>
      <c r="AU40" s="7"/>
      <c r="AV40" s="7"/>
    </row>
    <row r="41" customFormat="false" ht="15" hidden="false" customHeight="false" outlineLevel="0" collapsed="false">
      <c r="A41" s="12" t="s">
        <v>371</v>
      </c>
      <c r="B41" s="13" t="s">
        <v>372</v>
      </c>
      <c r="C41" s="12" t="s">
        <v>78</v>
      </c>
      <c r="D41" s="14" t="n">
        <v>36913</v>
      </c>
      <c r="E41" s="12" t="n">
        <f aca="false">DATEDIF(D41,'Chú giải'!$B$3,"Y")</f>
        <v>25</v>
      </c>
      <c r="F41" s="13" t="s">
        <v>65</v>
      </c>
      <c r="G41" s="13" t="s">
        <v>66</v>
      </c>
      <c r="H41" s="15" t="s">
        <v>373</v>
      </c>
      <c r="I41" s="13" t="s">
        <v>374</v>
      </c>
      <c r="J41" s="13" t="s">
        <v>375</v>
      </c>
      <c r="K41" s="13" t="s">
        <v>70</v>
      </c>
      <c r="L41" s="13" t="s">
        <v>71</v>
      </c>
      <c r="M41" s="12" t="s">
        <v>72</v>
      </c>
      <c r="N41" s="12" t="s">
        <v>60</v>
      </c>
      <c r="O41" s="12" t="s">
        <v>60</v>
      </c>
      <c r="P41" s="12" t="n">
        <v>6</v>
      </c>
      <c r="Q41" s="16" t="n">
        <v>3</v>
      </c>
      <c r="R41" s="16" t="n">
        <v>3.5</v>
      </c>
      <c r="S41" s="13" t="s">
        <v>71</v>
      </c>
      <c r="T41" s="14" t="n">
        <v>46327</v>
      </c>
      <c r="U41" s="12" t="n">
        <v>6</v>
      </c>
      <c r="V41" s="12" t="n">
        <v>3</v>
      </c>
      <c r="W41" s="12" t="n">
        <v>2</v>
      </c>
      <c r="X41" s="12" t="n">
        <v>1</v>
      </c>
      <c r="Y41" s="12" t="n">
        <v>2</v>
      </c>
      <c r="Z41" s="12" t="n">
        <v>2</v>
      </c>
      <c r="AA41" s="12" t="n">
        <v>2</v>
      </c>
      <c r="AB41" s="12" t="n">
        <v>2</v>
      </c>
      <c r="AC41" s="12" t="n">
        <v>1</v>
      </c>
      <c r="AD41" s="12" t="n">
        <v>2</v>
      </c>
      <c r="AE41" s="12" t="n">
        <v>1</v>
      </c>
      <c r="AF41" s="12" t="n">
        <v>1</v>
      </c>
      <c r="AG41" s="12" t="n">
        <v>1</v>
      </c>
      <c r="AH41" s="12" t="n">
        <v>2</v>
      </c>
      <c r="AI41" s="12" t="n">
        <v>2</v>
      </c>
      <c r="AJ41" s="12" t="n">
        <v>2</v>
      </c>
      <c r="AK41" s="12" t="n">
        <v>2</v>
      </c>
      <c r="AL41" s="12" t="n">
        <v>1</v>
      </c>
      <c r="AM41" s="12"/>
      <c r="AN41" s="12" t="n">
        <v>0</v>
      </c>
      <c r="AO41" s="12"/>
      <c r="AP41" s="12"/>
      <c r="AQ41" s="12" t="n">
        <v>0</v>
      </c>
      <c r="AR41" s="12"/>
      <c r="AS41" s="12" t="n">
        <v>0</v>
      </c>
      <c r="AT41" s="12" t="s">
        <v>73</v>
      </c>
      <c r="AU41" s="12" t="s">
        <v>376</v>
      </c>
      <c r="AV41" s="12" t="s">
        <v>377</v>
      </c>
    </row>
    <row r="42" customFormat="false" ht="15" hidden="false" customHeight="false" outlineLevel="0" collapsed="false">
      <c r="A42" s="7" t="s">
        <v>378</v>
      </c>
      <c r="B42" s="8" t="s">
        <v>379</v>
      </c>
      <c r="C42" s="7" t="s">
        <v>50</v>
      </c>
      <c r="D42" s="9" t="n">
        <v>38728</v>
      </c>
      <c r="E42" s="7" t="n">
        <f aca="false">DATEDIF(D42,'Chú giải'!$B$3,"Y")</f>
        <v>20</v>
      </c>
      <c r="F42" s="8" t="s">
        <v>230</v>
      </c>
      <c r="G42" s="8" t="s">
        <v>231</v>
      </c>
      <c r="H42" s="10" t="s">
        <v>380</v>
      </c>
      <c r="I42" s="8" t="s">
        <v>381</v>
      </c>
      <c r="J42" s="8" t="s">
        <v>382</v>
      </c>
      <c r="K42" s="8" t="s">
        <v>355</v>
      </c>
      <c r="L42" s="8" t="s">
        <v>149</v>
      </c>
      <c r="M42" s="7" t="s">
        <v>58</v>
      </c>
      <c r="N42" s="7" t="s">
        <v>59</v>
      </c>
      <c r="O42" s="7" t="s">
        <v>60</v>
      </c>
      <c r="P42" s="7" t="n">
        <v>8</v>
      </c>
      <c r="Q42" s="11" t="n">
        <v>2.5</v>
      </c>
      <c r="R42" s="11" t="n">
        <v>3</v>
      </c>
      <c r="S42" s="8"/>
      <c r="T42" s="9" t="n">
        <v>46330</v>
      </c>
      <c r="U42" s="7" t="n">
        <v>6</v>
      </c>
      <c r="V42" s="7" t="n">
        <v>3</v>
      </c>
      <c r="W42" s="7" t="n">
        <v>3</v>
      </c>
      <c r="X42" s="7" t="n">
        <v>1</v>
      </c>
      <c r="Y42" s="7" t="n">
        <v>2</v>
      </c>
      <c r="Z42" s="7" t="n">
        <v>3</v>
      </c>
      <c r="AA42" s="7" t="n">
        <v>3</v>
      </c>
      <c r="AB42" s="7" t="n">
        <v>3</v>
      </c>
      <c r="AC42" s="7" t="n">
        <v>4</v>
      </c>
      <c r="AD42" s="7" t="n">
        <v>2</v>
      </c>
      <c r="AE42" s="7" t="n">
        <v>1</v>
      </c>
      <c r="AF42" s="7" t="n">
        <v>1</v>
      </c>
      <c r="AG42" s="7" t="n">
        <v>2</v>
      </c>
      <c r="AH42" s="7" t="n">
        <v>2</v>
      </c>
      <c r="AI42" s="7" t="n">
        <v>2</v>
      </c>
      <c r="AJ42" s="7" t="n">
        <v>3</v>
      </c>
      <c r="AK42" s="7" t="n">
        <v>2</v>
      </c>
      <c r="AL42" s="7" t="n">
        <v>1</v>
      </c>
      <c r="AM42" s="7"/>
      <c r="AN42" s="7" t="n">
        <v>0</v>
      </c>
      <c r="AO42" s="7"/>
      <c r="AP42" s="7"/>
      <c r="AQ42" s="7" t="n">
        <v>0</v>
      </c>
      <c r="AR42" s="7"/>
      <c r="AS42" s="7" t="n">
        <v>0</v>
      </c>
      <c r="AT42" s="7" t="s">
        <v>62</v>
      </c>
      <c r="AU42" s="7"/>
      <c r="AV42" s="7"/>
    </row>
    <row r="43" customFormat="false" ht="15" hidden="false" customHeight="false" outlineLevel="0" collapsed="false">
      <c r="A43" s="7" t="s">
        <v>383</v>
      </c>
      <c r="B43" s="8" t="s">
        <v>384</v>
      </c>
      <c r="C43" s="7" t="s">
        <v>78</v>
      </c>
      <c r="D43" s="9" t="n">
        <v>34861</v>
      </c>
      <c r="E43" s="7" t="n">
        <f aca="false">DATEDIF(D43,'Chú giải'!$B$3,"Y")</f>
        <v>31</v>
      </c>
      <c r="F43" s="8" t="s">
        <v>206</v>
      </c>
      <c r="G43" s="8" t="s">
        <v>198</v>
      </c>
      <c r="H43" s="10" t="s">
        <v>385</v>
      </c>
      <c r="I43" s="8" t="s">
        <v>386</v>
      </c>
      <c r="J43" s="8" t="s">
        <v>387</v>
      </c>
      <c r="K43" s="8" t="s">
        <v>185</v>
      </c>
      <c r="L43" s="8" t="s">
        <v>57</v>
      </c>
      <c r="M43" s="7" t="s">
        <v>211</v>
      </c>
      <c r="N43" s="7" t="s">
        <v>60</v>
      </c>
      <c r="O43" s="7" t="s">
        <v>60</v>
      </c>
      <c r="P43" s="7" t="n">
        <v>12</v>
      </c>
      <c r="Q43" s="11" t="n">
        <v>4</v>
      </c>
      <c r="R43" s="11" t="n">
        <v>4.5</v>
      </c>
      <c r="S43" s="8"/>
      <c r="T43" s="9" t="n">
        <v>46315</v>
      </c>
      <c r="U43" s="7" t="n">
        <v>6</v>
      </c>
      <c r="V43" s="7" t="n">
        <v>3</v>
      </c>
      <c r="W43" s="7" t="n">
        <v>2</v>
      </c>
      <c r="X43" s="7" t="n">
        <v>1</v>
      </c>
      <c r="Y43" s="7" t="n">
        <v>1</v>
      </c>
      <c r="Z43" s="7" t="n">
        <v>4</v>
      </c>
      <c r="AA43" s="7" t="n">
        <v>2</v>
      </c>
      <c r="AB43" s="7" t="n">
        <v>3</v>
      </c>
      <c r="AC43" s="7" t="n">
        <v>4</v>
      </c>
      <c r="AD43" s="7" t="n">
        <v>3</v>
      </c>
      <c r="AE43" s="7" t="n">
        <v>1</v>
      </c>
      <c r="AF43" s="7" t="n">
        <v>2</v>
      </c>
      <c r="AG43" s="7" t="n">
        <v>1</v>
      </c>
      <c r="AH43" s="7" t="n">
        <v>2</v>
      </c>
      <c r="AI43" s="7" t="n">
        <v>2</v>
      </c>
      <c r="AJ43" s="7" t="n">
        <v>2</v>
      </c>
      <c r="AK43" s="7" t="n">
        <v>3</v>
      </c>
      <c r="AL43" s="7" t="n">
        <v>2</v>
      </c>
      <c r="AM43" s="7" t="n">
        <v>94</v>
      </c>
      <c r="AN43" s="7" t="n">
        <v>8</v>
      </c>
      <c r="AO43" s="7" t="n">
        <v>51</v>
      </c>
      <c r="AP43" s="7" t="n">
        <v>3.9</v>
      </c>
      <c r="AQ43" s="7" t="n">
        <v>1</v>
      </c>
      <c r="AR43" s="7" t="n">
        <v>3.8</v>
      </c>
      <c r="AS43" s="7" t="n">
        <v>0</v>
      </c>
      <c r="AT43" s="7" t="s">
        <v>62</v>
      </c>
      <c r="AU43" s="7"/>
      <c r="AV43" s="7"/>
    </row>
    <row r="44" customFormat="false" ht="15" hidden="false" customHeight="false" outlineLevel="0" collapsed="false">
      <c r="A44" s="12" t="s">
        <v>388</v>
      </c>
      <c r="B44" s="13" t="s">
        <v>389</v>
      </c>
      <c r="C44" s="12" t="s">
        <v>78</v>
      </c>
      <c r="D44" s="14" t="n">
        <v>37685</v>
      </c>
      <c r="E44" s="12" t="n">
        <f aca="false">DATEDIF(D44,'Chú giải'!$B$3,"Y")</f>
        <v>23</v>
      </c>
      <c r="F44" s="13" t="s">
        <v>65</v>
      </c>
      <c r="G44" s="13" t="s">
        <v>99</v>
      </c>
      <c r="H44" s="15" t="s">
        <v>390</v>
      </c>
      <c r="I44" s="13" t="s">
        <v>391</v>
      </c>
      <c r="J44" s="13" t="s">
        <v>392</v>
      </c>
      <c r="K44" s="13" t="s">
        <v>393</v>
      </c>
      <c r="L44" s="13" t="s">
        <v>271</v>
      </c>
      <c r="M44" s="12" t="s">
        <v>72</v>
      </c>
      <c r="N44" s="12" t="s">
        <v>60</v>
      </c>
      <c r="O44" s="12" t="s">
        <v>60</v>
      </c>
      <c r="P44" s="12" t="n">
        <v>6</v>
      </c>
      <c r="Q44" s="16" t="n">
        <v>3</v>
      </c>
      <c r="R44" s="16" t="n">
        <v>3.5</v>
      </c>
      <c r="S44" s="13"/>
      <c r="T44" s="14" t="n">
        <v>46327</v>
      </c>
      <c r="U44" s="12" t="n">
        <v>6</v>
      </c>
      <c r="V44" s="12" t="n">
        <v>3</v>
      </c>
      <c r="W44" s="12" t="n">
        <v>2</v>
      </c>
      <c r="X44" s="12" t="n">
        <v>1</v>
      </c>
      <c r="Y44" s="12" t="n">
        <v>2</v>
      </c>
      <c r="Z44" s="12" t="n">
        <v>2</v>
      </c>
      <c r="AA44" s="12" t="n">
        <v>2</v>
      </c>
      <c r="AB44" s="12" t="n">
        <v>2</v>
      </c>
      <c r="AC44" s="12" t="n">
        <v>1</v>
      </c>
      <c r="AD44" s="12" t="n">
        <v>2</v>
      </c>
      <c r="AE44" s="12" t="n">
        <v>1</v>
      </c>
      <c r="AF44" s="12" t="n">
        <v>1</v>
      </c>
      <c r="AG44" s="12" t="n">
        <v>1</v>
      </c>
      <c r="AH44" s="12" t="n">
        <v>2</v>
      </c>
      <c r="AI44" s="12" t="n">
        <v>2</v>
      </c>
      <c r="AJ44" s="12" t="n">
        <v>2</v>
      </c>
      <c r="AK44" s="12" t="n">
        <v>2</v>
      </c>
      <c r="AL44" s="12" t="n">
        <v>1</v>
      </c>
      <c r="AM44" s="12"/>
      <c r="AN44" s="12" t="n">
        <v>0</v>
      </c>
      <c r="AO44" s="12"/>
      <c r="AP44" s="12"/>
      <c r="AQ44" s="12" t="n">
        <v>0</v>
      </c>
      <c r="AR44" s="12"/>
      <c r="AS44" s="12" t="n">
        <v>0</v>
      </c>
      <c r="AT44" s="12" t="s">
        <v>73</v>
      </c>
      <c r="AU44" s="12" t="s">
        <v>394</v>
      </c>
      <c r="AV44" s="12" t="s">
        <v>395</v>
      </c>
    </row>
    <row r="45" customFormat="false" ht="15" hidden="false" customHeight="false" outlineLevel="0" collapsed="false">
      <c r="A45" s="7" t="s">
        <v>396</v>
      </c>
      <c r="B45" s="8" t="s">
        <v>397</v>
      </c>
      <c r="C45" s="7" t="s">
        <v>50</v>
      </c>
      <c r="D45" s="9" t="n">
        <v>35954</v>
      </c>
      <c r="E45" s="7" t="n">
        <f aca="false">DATEDIF(D45,'Chú giải'!$B$3,"Y")</f>
        <v>28</v>
      </c>
      <c r="F45" s="8" t="s">
        <v>143</v>
      </c>
      <c r="G45" s="8" t="s">
        <v>144</v>
      </c>
      <c r="H45" s="10" t="s">
        <v>398</v>
      </c>
      <c r="I45" s="8" t="s">
        <v>399</v>
      </c>
      <c r="J45" s="8" t="s">
        <v>400</v>
      </c>
      <c r="K45" s="8" t="s">
        <v>93</v>
      </c>
      <c r="L45" s="8" t="s">
        <v>94</v>
      </c>
      <c r="M45" s="7" t="s">
        <v>211</v>
      </c>
      <c r="N45" s="7" t="s">
        <v>60</v>
      </c>
      <c r="O45" s="7" t="s">
        <v>60</v>
      </c>
      <c r="P45" s="7" t="n">
        <v>6</v>
      </c>
      <c r="Q45" s="11" t="n">
        <v>4</v>
      </c>
      <c r="R45" s="11" t="n">
        <v>5</v>
      </c>
      <c r="S45" s="8" t="s">
        <v>401</v>
      </c>
      <c r="T45" s="9" t="n">
        <v>46345</v>
      </c>
      <c r="U45" s="7" t="n">
        <v>3</v>
      </c>
      <c r="V45" s="7" t="n">
        <v>3</v>
      </c>
      <c r="W45" s="7" t="n">
        <v>4</v>
      </c>
      <c r="X45" s="7" t="n">
        <v>2</v>
      </c>
      <c r="Y45" s="7" t="n">
        <v>1</v>
      </c>
      <c r="Z45" s="7" t="n">
        <v>2</v>
      </c>
      <c r="AA45" s="7" t="n">
        <v>2</v>
      </c>
      <c r="AB45" s="7" t="n">
        <v>3</v>
      </c>
      <c r="AC45" s="7" t="n">
        <v>2</v>
      </c>
      <c r="AD45" s="7" t="n">
        <v>3</v>
      </c>
      <c r="AE45" s="7" t="n">
        <v>1</v>
      </c>
      <c r="AF45" s="7" t="n">
        <v>1</v>
      </c>
      <c r="AG45" s="7" t="n">
        <v>3</v>
      </c>
      <c r="AH45" s="7" t="n">
        <v>2</v>
      </c>
      <c r="AI45" s="7" t="n">
        <v>2</v>
      </c>
      <c r="AJ45" s="7" t="n">
        <v>3</v>
      </c>
      <c r="AK45" s="7" t="n">
        <v>2</v>
      </c>
      <c r="AL45" s="7" t="n">
        <v>1</v>
      </c>
      <c r="AM45" s="7" t="n">
        <v>98</v>
      </c>
      <c r="AN45" s="7" t="n">
        <v>8</v>
      </c>
      <c r="AO45" s="7" t="n">
        <v>92</v>
      </c>
      <c r="AP45" s="7" t="n">
        <v>3.5</v>
      </c>
      <c r="AQ45" s="7" t="n">
        <v>4</v>
      </c>
      <c r="AR45" s="7" t="n">
        <v>5</v>
      </c>
      <c r="AS45" s="7" t="n">
        <v>0</v>
      </c>
      <c r="AT45" s="7" t="s">
        <v>62</v>
      </c>
      <c r="AU45" s="7"/>
      <c r="AV45" s="7"/>
    </row>
    <row r="46" customFormat="false" ht="15" hidden="false" customHeight="false" outlineLevel="0" collapsed="false">
      <c r="A46" s="12" t="s">
        <v>402</v>
      </c>
      <c r="B46" s="13" t="s">
        <v>403</v>
      </c>
      <c r="C46" s="12" t="s">
        <v>50</v>
      </c>
      <c r="D46" s="14" t="n">
        <v>36902</v>
      </c>
      <c r="E46" s="12" t="n">
        <f aca="false">DATEDIF(D46,'Chú giải'!$B$3,"Y")</f>
        <v>25</v>
      </c>
      <c r="F46" s="13" t="s">
        <v>65</v>
      </c>
      <c r="G46" s="13" t="s">
        <v>66</v>
      </c>
      <c r="H46" s="15" t="s">
        <v>404</v>
      </c>
      <c r="I46" s="13" t="s">
        <v>405</v>
      </c>
      <c r="J46" s="13" t="s">
        <v>406</v>
      </c>
      <c r="K46" s="13" t="s">
        <v>407</v>
      </c>
      <c r="L46" s="13" t="s">
        <v>271</v>
      </c>
      <c r="M46" s="12" t="s">
        <v>72</v>
      </c>
      <c r="N46" s="12" t="s">
        <v>60</v>
      </c>
      <c r="O46" s="12" t="s">
        <v>60</v>
      </c>
      <c r="P46" s="12" t="n">
        <v>6</v>
      </c>
      <c r="Q46" s="16" t="n">
        <v>3</v>
      </c>
      <c r="R46" s="16" t="n">
        <v>3.5</v>
      </c>
      <c r="S46" s="13"/>
      <c r="T46" s="14" t="n">
        <v>46327</v>
      </c>
      <c r="U46" s="12" t="n">
        <v>6</v>
      </c>
      <c r="V46" s="12" t="n">
        <v>3</v>
      </c>
      <c r="W46" s="12" t="n">
        <v>2</v>
      </c>
      <c r="X46" s="12" t="n">
        <v>1</v>
      </c>
      <c r="Y46" s="12" t="n">
        <v>2</v>
      </c>
      <c r="Z46" s="12" t="n">
        <v>2</v>
      </c>
      <c r="AA46" s="12" t="n">
        <v>4</v>
      </c>
      <c r="AB46" s="12" t="n">
        <v>2</v>
      </c>
      <c r="AC46" s="12" t="n">
        <v>1</v>
      </c>
      <c r="AD46" s="12" t="n">
        <v>2</v>
      </c>
      <c r="AE46" s="12" t="n">
        <v>1</v>
      </c>
      <c r="AF46" s="12" t="n">
        <v>1</v>
      </c>
      <c r="AG46" s="12" t="n">
        <v>1</v>
      </c>
      <c r="AH46" s="12" t="n">
        <v>2</v>
      </c>
      <c r="AI46" s="12" t="n">
        <v>2</v>
      </c>
      <c r="AJ46" s="12" t="n">
        <v>1</v>
      </c>
      <c r="AK46" s="12" t="n">
        <v>2</v>
      </c>
      <c r="AL46" s="12" t="n">
        <v>2</v>
      </c>
      <c r="AM46" s="12"/>
      <c r="AN46" s="12" t="n">
        <v>0</v>
      </c>
      <c r="AO46" s="12"/>
      <c r="AP46" s="12"/>
      <c r="AQ46" s="12" t="n">
        <v>0</v>
      </c>
      <c r="AR46" s="12"/>
      <c r="AS46" s="12" t="n">
        <v>0</v>
      </c>
      <c r="AT46" s="12" t="s">
        <v>73</v>
      </c>
      <c r="AU46" s="12" t="s">
        <v>105</v>
      </c>
      <c r="AV46" s="12" t="s">
        <v>408</v>
      </c>
    </row>
    <row r="47" customFormat="false" ht="15" hidden="false" customHeight="false" outlineLevel="0" collapsed="false">
      <c r="A47" s="7" t="s">
        <v>409</v>
      </c>
      <c r="B47" s="8" t="s">
        <v>410</v>
      </c>
      <c r="C47" s="7" t="s">
        <v>50</v>
      </c>
      <c r="D47" s="9" t="n">
        <v>37738</v>
      </c>
      <c r="E47" s="7" t="n">
        <f aca="false">DATEDIF(D47,'Chú giải'!$B$3,"Y")</f>
        <v>23</v>
      </c>
      <c r="F47" s="8" t="s">
        <v>339</v>
      </c>
      <c r="G47" s="8" t="s">
        <v>340</v>
      </c>
      <c r="H47" s="10" t="s">
        <v>411</v>
      </c>
      <c r="I47" s="8" t="s">
        <v>412</v>
      </c>
      <c r="J47" s="8" t="s">
        <v>413</v>
      </c>
      <c r="K47" s="8" t="s">
        <v>355</v>
      </c>
      <c r="L47" s="8" t="s">
        <v>149</v>
      </c>
      <c r="M47" s="7" t="s">
        <v>72</v>
      </c>
      <c r="N47" s="7" t="s">
        <v>60</v>
      </c>
      <c r="O47" s="7" t="s">
        <v>60</v>
      </c>
      <c r="P47" s="7" t="n">
        <v>6</v>
      </c>
      <c r="Q47" s="11" t="n">
        <v>4.5</v>
      </c>
      <c r="R47" s="11" t="n">
        <v>5</v>
      </c>
      <c r="S47" s="8" t="s">
        <v>414</v>
      </c>
      <c r="T47" s="9" t="n">
        <v>46342</v>
      </c>
      <c r="U47" s="7" t="n">
        <v>9</v>
      </c>
      <c r="V47" s="7" t="n">
        <v>3</v>
      </c>
      <c r="W47" s="7" t="n">
        <v>3</v>
      </c>
      <c r="X47" s="7" t="n">
        <v>3</v>
      </c>
      <c r="Y47" s="7" t="n">
        <v>1</v>
      </c>
      <c r="Z47" s="7" t="n">
        <v>2</v>
      </c>
      <c r="AA47" s="7" t="n">
        <v>3</v>
      </c>
      <c r="AB47" s="7" t="n">
        <v>2</v>
      </c>
      <c r="AC47" s="7" t="n">
        <v>1</v>
      </c>
      <c r="AD47" s="7" t="n">
        <v>2</v>
      </c>
      <c r="AE47" s="7" t="n">
        <v>2</v>
      </c>
      <c r="AF47" s="7" t="n">
        <v>1</v>
      </c>
      <c r="AG47" s="7" t="n">
        <v>1</v>
      </c>
      <c r="AH47" s="7" t="n">
        <v>2</v>
      </c>
      <c r="AI47" s="7" t="n">
        <v>1</v>
      </c>
      <c r="AJ47" s="7" t="n">
        <v>3</v>
      </c>
      <c r="AK47" s="7" t="n">
        <v>3</v>
      </c>
      <c r="AL47" s="7" t="n">
        <v>2</v>
      </c>
      <c r="AM47" s="7"/>
      <c r="AN47" s="7" t="n">
        <v>0</v>
      </c>
      <c r="AO47" s="7"/>
      <c r="AP47" s="7"/>
      <c r="AQ47" s="7" t="n">
        <v>0</v>
      </c>
      <c r="AR47" s="7"/>
      <c r="AS47" s="7" t="n">
        <v>0</v>
      </c>
      <c r="AT47" s="7" t="s">
        <v>62</v>
      </c>
      <c r="AU47" s="7"/>
      <c r="AV47" s="7"/>
    </row>
    <row r="48" customFormat="false" ht="15" hidden="false" customHeight="false" outlineLevel="0" collapsed="false">
      <c r="A48" s="7" t="s">
        <v>415</v>
      </c>
      <c r="B48" s="8" t="s">
        <v>416</v>
      </c>
      <c r="C48" s="7" t="s">
        <v>78</v>
      </c>
      <c r="D48" s="9" t="n">
        <v>38369</v>
      </c>
      <c r="E48" s="7" t="n">
        <f aca="false">DATEDIF(D48,'Chú giải'!$B$3,"Y")</f>
        <v>21</v>
      </c>
      <c r="F48" s="8" t="s">
        <v>180</v>
      </c>
      <c r="G48" s="8" t="s">
        <v>118</v>
      </c>
      <c r="H48" s="10" t="s">
        <v>417</v>
      </c>
      <c r="I48" s="8" t="s">
        <v>418</v>
      </c>
      <c r="J48" s="8" t="s">
        <v>419</v>
      </c>
      <c r="K48" s="8" t="s">
        <v>192</v>
      </c>
      <c r="L48" s="8" t="s">
        <v>104</v>
      </c>
      <c r="M48" s="7" t="s">
        <v>211</v>
      </c>
      <c r="N48" s="7" t="s">
        <v>60</v>
      </c>
      <c r="O48" s="7" t="s">
        <v>60</v>
      </c>
      <c r="P48" s="7" t="n">
        <v>6</v>
      </c>
      <c r="Q48" s="11" t="n">
        <v>2</v>
      </c>
      <c r="R48" s="11" t="n">
        <v>2.5</v>
      </c>
      <c r="S48" s="8" t="s">
        <v>420</v>
      </c>
      <c r="T48" s="9" t="n">
        <v>46324</v>
      </c>
      <c r="U48" s="7" t="n">
        <v>12</v>
      </c>
      <c r="V48" s="7" t="n">
        <v>6</v>
      </c>
      <c r="W48" s="7" t="n">
        <v>4</v>
      </c>
      <c r="X48" s="7" t="n">
        <v>1</v>
      </c>
      <c r="Y48" s="7" t="n">
        <v>1</v>
      </c>
      <c r="Z48" s="7" t="n">
        <v>2</v>
      </c>
      <c r="AA48" s="7" t="n">
        <v>3</v>
      </c>
      <c r="AB48" s="7" t="n">
        <v>3</v>
      </c>
      <c r="AC48" s="7" t="n">
        <v>2</v>
      </c>
      <c r="AD48" s="7" t="n">
        <v>3</v>
      </c>
      <c r="AE48" s="7" t="n">
        <v>2</v>
      </c>
      <c r="AF48" s="7" t="n">
        <v>1</v>
      </c>
      <c r="AG48" s="7" t="n">
        <v>1</v>
      </c>
      <c r="AH48" s="7" t="n">
        <v>2</v>
      </c>
      <c r="AI48" s="7" t="n">
        <v>2</v>
      </c>
      <c r="AJ48" s="7" t="n">
        <v>2</v>
      </c>
      <c r="AK48" s="7" t="n">
        <v>1</v>
      </c>
      <c r="AL48" s="7" t="n">
        <v>1</v>
      </c>
      <c r="AM48" s="7" t="n">
        <v>88</v>
      </c>
      <c r="AN48" s="7" t="n">
        <v>11</v>
      </c>
      <c r="AO48" s="7" t="n">
        <v>62</v>
      </c>
      <c r="AP48" s="7" t="n">
        <v>3.2</v>
      </c>
      <c r="AQ48" s="7" t="n">
        <v>3</v>
      </c>
      <c r="AR48" s="7" t="n">
        <v>4.1</v>
      </c>
      <c r="AS48" s="7" t="n">
        <v>0</v>
      </c>
      <c r="AT48" s="7" t="s">
        <v>62</v>
      </c>
      <c r="AU48" s="7"/>
      <c r="AV48" s="7"/>
    </row>
    <row r="49" customFormat="false" ht="15" hidden="false" customHeight="false" outlineLevel="0" collapsed="false">
      <c r="A49" s="12" t="s">
        <v>421</v>
      </c>
      <c r="B49" s="13" t="s">
        <v>422</v>
      </c>
      <c r="C49" s="12" t="s">
        <v>78</v>
      </c>
      <c r="D49" s="14" t="n">
        <v>37000</v>
      </c>
      <c r="E49" s="12" t="n">
        <f aca="false">DATEDIF(D49,'Chú giải'!$B$3,"Y")</f>
        <v>25</v>
      </c>
      <c r="F49" s="13" t="s">
        <v>65</v>
      </c>
      <c r="G49" s="13" t="s">
        <v>66</v>
      </c>
      <c r="H49" s="15" t="s">
        <v>423</v>
      </c>
      <c r="I49" s="13" t="s">
        <v>424</v>
      </c>
      <c r="J49" s="13" t="s">
        <v>425</v>
      </c>
      <c r="K49" s="13" t="s">
        <v>285</v>
      </c>
      <c r="L49" s="13" t="s">
        <v>57</v>
      </c>
      <c r="M49" s="12" t="s">
        <v>72</v>
      </c>
      <c r="N49" s="12" t="s">
        <v>60</v>
      </c>
      <c r="O49" s="12" t="s">
        <v>60</v>
      </c>
      <c r="P49" s="12" t="n">
        <v>6</v>
      </c>
      <c r="Q49" s="16" t="n">
        <v>3</v>
      </c>
      <c r="R49" s="16" t="n">
        <v>3.5</v>
      </c>
      <c r="S49" s="13"/>
      <c r="T49" s="14" t="n">
        <v>46327</v>
      </c>
      <c r="U49" s="12" t="n">
        <v>6</v>
      </c>
      <c r="V49" s="12" t="n">
        <v>3</v>
      </c>
      <c r="W49" s="12" t="n">
        <v>3</v>
      </c>
      <c r="X49" s="12" t="n">
        <v>1</v>
      </c>
      <c r="Y49" s="12" t="n">
        <v>2</v>
      </c>
      <c r="Z49" s="12" t="n">
        <v>2</v>
      </c>
      <c r="AA49" s="12" t="n">
        <v>2</v>
      </c>
      <c r="AB49" s="12" t="n">
        <v>2</v>
      </c>
      <c r="AC49" s="12" t="n">
        <v>1</v>
      </c>
      <c r="AD49" s="12" t="n">
        <v>2</v>
      </c>
      <c r="AE49" s="12" t="n">
        <v>1</v>
      </c>
      <c r="AF49" s="12" t="n">
        <v>1</v>
      </c>
      <c r="AG49" s="12" t="n">
        <v>1</v>
      </c>
      <c r="AH49" s="12" t="n">
        <v>2</v>
      </c>
      <c r="AI49" s="12" t="n">
        <v>2</v>
      </c>
      <c r="AJ49" s="12" t="n">
        <v>2</v>
      </c>
      <c r="AK49" s="12" t="n">
        <v>2</v>
      </c>
      <c r="AL49" s="12" t="n">
        <v>1</v>
      </c>
      <c r="AM49" s="12"/>
      <c r="AN49" s="12" t="n">
        <v>0</v>
      </c>
      <c r="AO49" s="12"/>
      <c r="AP49" s="12"/>
      <c r="AQ49" s="12" t="n">
        <v>0</v>
      </c>
      <c r="AR49" s="12"/>
      <c r="AS49" s="12" t="n">
        <v>0</v>
      </c>
      <c r="AT49" s="12" t="s">
        <v>73</v>
      </c>
      <c r="AU49" s="12" t="s">
        <v>426</v>
      </c>
      <c r="AV49" s="12" t="s">
        <v>427</v>
      </c>
    </row>
    <row r="50" customFormat="false" ht="15" hidden="false" customHeight="false" outlineLevel="0" collapsed="false">
      <c r="A50" s="12" t="s">
        <v>428</v>
      </c>
      <c r="B50" s="13" t="s">
        <v>429</v>
      </c>
      <c r="C50" s="12" t="s">
        <v>78</v>
      </c>
      <c r="D50" s="14" t="n">
        <v>37638</v>
      </c>
      <c r="E50" s="12" t="n">
        <f aca="false">DATEDIF(D50,'Chú giải'!$B$3,"Y")</f>
        <v>23</v>
      </c>
      <c r="F50" s="13" t="s">
        <v>65</v>
      </c>
      <c r="G50" s="13" t="s">
        <v>99</v>
      </c>
      <c r="H50" s="15" t="s">
        <v>430</v>
      </c>
      <c r="I50" s="13" t="s">
        <v>431</v>
      </c>
      <c r="J50" s="13" t="s">
        <v>432</v>
      </c>
      <c r="K50" s="13" t="s">
        <v>362</v>
      </c>
      <c r="L50" s="13" t="s">
        <v>94</v>
      </c>
      <c r="M50" s="12" t="s">
        <v>72</v>
      </c>
      <c r="N50" s="12" t="s">
        <v>60</v>
      </c>
      <c r="O50" s="12" t="s">
        <v>60</v>
      </c>
      <c r="P50" s="12" t="n">
        <v>6</v>
      </c>
      <c r="Q50" s="16" t="n">
        <v>3</v>
      </c>
      <c r="R50" s="16" t="n">
        <v>3.5</v>
      </c>
      <c r="S50" s="13" t="s">
        <v>94</v>
      </c>
      <c r="T50" s="14" t="n">
        <v>46327</v>
      </c>
      <c r="U50" s="12" t="n">
        <v>6</v>
      </c>
      <c r="V50" s="12" t="n">
        <v>3</v>
      </c>
      <c r="W50" s="12" t="n">
        <v>2</v>
      </c>
      <c r="X50" s="12" t="n">
        <v>1</v>
      </c>
      <c r="Y50" s="12" t="n">
        <v>2</v>
      </c>
      <c r="Z50" s="12" t="n">
        <v>2</v>
      </c>
      <c r="AA50" s="12" t="n">
        <v>2</v>
      </c>
      <c r="AB50" s="12" t="n">
        <v>2</v>
      </c>
      <c r="AC50" s="12" t="n">
        <v>1</v>
      </c>
      <c r="AD50" s="12" t="n">
        <v>2</v>
      </c>
      <c r="AE50" s="12" t="n">
        <v>1</v>
      </c>
      <c r="AF50" s="12" t="n">
        <v>1</v>
      </c>
      <c r="AG50" s="12" t="n">
        <v>1</v>
      </c>
      <c r="AH50" s="12" t="n">
        <v>2</v>
      </c>
      <c r="AI50" s="12" t="n">
        <v>2</v>
      </c>
      <c r="AJ50" s="12" t="n">
        <v>2</v>
      </c>
      <c r="AK50" s="12" t="n">
        <v>2</v>
      </c>
      <c r="AL50" s="12" t="n">
        <v>1</v>
      </c>
      <c r="AM50" s="12"/>
      <c r="AN50" s="12" t="n">
        <v>0</v>
      </c>
      <c r="AO50" s="12"/>
      <c r="AP50" s="12"/>
      <c r="AQ50" s="12" t="n">
        <v>0</v>
      </c>
      <c r="AR50" s="12"/>
      <c r="AS50" s="12" t="n">
        <v>0</v>
      </c>
      <c r="AT50" s="12" t="s">
        <v>73</v>
      </c>
      <c r="AU50" s="12" t="s">
        <v>376</v>
      </c>
      <c r="AV50" s="12" t="s">
        <v>433</v>
      </c>
    </row>
    <row r="51" customFormat="false" ht="15" hidden="false" customHeight="false" outlineLevel="0" collapsed="false">
      <c r="A51" s="12" t="s">
        <v>434</v>
      </c>
      <c r="B51" s="13" t="s">
        <v>435</v>
      </c>
      <c r="C51" s="12" t="s">
        <v>50</v>
      </c>
      <c r="D51" s="14" t="n">
        <v>38015</v>
      </c>
      <c r="E51" s="12" t="n">
        <f aca="false">DATEDIF(D51,'Chú giải'!$B$3,"Y")</f>
        <v>22</v>
      </c>
      <c r="F51" s="13" t="s">
        <v>79</v>
      </c>
      <c r="G51" s="13" t="s">
        <v>52</v>
      </c>
      <c r="H51" s="15" t="s">
        <v>436</v>
      </c>
      <c r="I51" s="13" t="s">
        <v>437</v>
      </c>
      <c r="J51" s="13" t="s">
        <v>438</v>
      </c>
      <c r="K51" s="13" t="s">
        <v>148</v>
      </c>
      <c r="L51" s="13" t="s">
        <v>149</v>
      </c>
      <c r="M51" s="12" t="s">
        <v>72</v>
      </c>
      <c r="N51" s="12" t="s">
        <v>60</v>
      </c>
      <c r="O51" s="12" t="s">
        <v>60</v>
      </c>
      <c r="P51" s="12" t="n">
        <v>6</v>
      </c>
      <c r="Q51" s="16" t="n">
        <v>3</v>
      </c>
      <c r="R51" s="16" t="n">
        <v>3.5</v>
      </c>
      <c r="S51" s="13"/>
      <c r="T51" s="14" t="n">
        <v>46327</v>
      </c>
      <c r="U51" s="12" t="n">
        <v>6</v>
      </c>
      <c r="V51" s="12" t="n">
        <v>3</v>
      </c>
      <c r="W51" s="12" t="n">
        <v>2</v>
      </c>
      <c r="X51" s="12" t="n">
        <v>1</v>
      </c>
      <c r="Y51" s="12" t="n">
        <v>2</v>
      </c>
      <c r="Z51" s="12" t="n">
        <v>2</v>
      </c>
      <c r="AA51" s="12" t="n">
        <v>2</v>
      </c>
      <c r="AB51" s="12" t="n">
        <v>2</v>
      </c>
      <c r="AC51" s="12" t="n">
        <v>1</v>
      </c>
      <c r="AD51" s="12" t="n">
        <v>2</v>
      </c>
      <c r="AE51" s="12" t="n">
        <v>1</v>
      </c>
      <c r="AF51" s="12" t="n">
        <v>1</v>
      </c>
      <c r="AG51" s="12" t="n">
        <v>1</v>
      </c>
      <c r="AH51" s="12" t="n">
        <v>2</v>
      </c>
      <c r="AI51" s="12" t="n">
        <v>2</v>
      </c>
      <c r="AJ51" s="12" t="n">
        <v>2</v>
      </c>
      <c r="AK51" s="12" t="n">
        <v>2</v>
      </c>
      <c r="AL51" s="12" t="n">
        <v>1</v>
      </c>
      <c r="AM51" s="12"/>
      <c r="AN51" s="12" t="n">
        <v>0</v>
      </c>
      <c r="AO51" s="12"/>
      <c r="AP51" s="12"/>
      <c r="AQ51" s="12" t="n">
        <v>0</v>
      </c>
      <c r="AR51" s="12"/>
      <c r="AS51" s="12" t="n">
        <v>0</v>
      </c>
      <c r="AT51" s="12" t="s">
        <v>73</v>
      </c>
      <c r="AU51" s="12" t="s">
        <v>439</v>
      </c>
      <c r="AV51" s="12" t="s">
        <v>440</v>
      </c>
    </row>
    <row r="52" customFormat="false" ht="15" hidden="false" customHeight="false" outlineLevel="0" collapsed="false">
      <c r="A52" s="12" t="s">
        <v>441</v>
      </c>
      <c r="B52" s="13" t="s">
        <v>442</v>
      </c>
      <c r="C52" s="12" t="s">
        <v>50</v>
      </c>
      <c r="D52" s="14" t="n">
        <v>37772</v>
      </c>
      <c r="E52" s="12" t="n">
        <f aca="false">DATEDIF(D52,'Chú giải'!$B$3,"Y")</f>
        <v>23</v>
      </c>
      <c r="F52" s="13" t="s">
        <v>65</v>
      </c>
      <c r="G52" s="13" t="s">
        <v>99</v>
      </c>
      <c r="H52" s="15" t="s">
        <v>443</v>
      </c>
      <c r="I52" s="13" t="s">
        <v>444</v>
      </c>
      <c r="J52" s="13" t="s">
        <v>445</v>
      </c>
      <c r="K52" s="13" t="s">
        <v>192</v>
      </c>
      <c r="L52" s="13" t="s">
        <v>104</v>
      </c>
      <c r="M52" s="12" t="s">
        <v>72</v>
      </c>
      <c r="N52" s="12" t="s">
        <v>60</v>
      </c>
      <c r="O52" s="12" t="s">
        <v>60</v>
      </c>
      <c r="P52" s="12" t="n">
        <v>6</v>
      </c>
      <c r="Q52" s="16" t="n">
        <v>4.5</v>
      </c>
      <c r="R52" s="16" t="n">
        <v>5</v>
      </c>
      <c r="S52" s="13"/>
      <c r="T52" s="14" t="n">
        <v>46327</v>
      </c>
      <c r="U52" s="12" t="n">
        <v>6</v>
      </c>
      <c r="V52" s="12" t="n">
        <v>3</v>
      </c>
      <c r="W52" s="12" t="n">
        <v>2</v>
      </c>
      <c r="X52" s="12" t="n">
        <v>1</v>
      </c>
      <c r="Y52" s="12" t="n">
        <v>2</v>
      </c>
      <c r="Z52" s="12" t="n">
        <v>2</v>
      </c>
      <c r="AA52" s="12" t="n">
        <v>2</v>
      </c>
      <c r="AB52" s="12" t="n">
        <v>2</v>
      </c>
      <c r="AC52" s="12" t="n">
        <v>1</v>
      </c>
      <c r="AD52" s="12" t="n">
        <v>2</v>
      </c>
      <c r="AE52" s="12" t="n">
        <v>1</v>
      </c>
      <c r="AF52" s="12" t="n">
        <v>1</v>
      </c>
      <c r="AG52" s="12" t="n">
        <v>1</v>
      </c>
      <c r="AH52" s="12" t="n">
        <v>2</v>
      </c>
      <c r="AI52" s="12" t="n">
        <v>2</v>
      </c>
      <c r="AJ52" s="12" t="n">
        <v>2</v>
      </c>
      <c r="AK52" s="12" t="n">
        <v>2</v>
      </c>
      <c r="AL52" s="12" t="n">
        <v>1</v>
      </c>
      <c r="AM52" s="12"/>
      <c r="AN52" s="12" t="n">
        <v>0</v>
      </c>
      <c r="AO52" s="12"/>
      <c r="AP52" s="12"/>
      <c r="AQ52" s="12" t="n">
        <v>0</v>
      </c>
      <c r="AR52" s="12"/>
      <c r="AS52" s="12" t="n">
        <v>0</v>
      </c>
      <c r="AT52" s="12" t="s">
        <v>73</v>
      </c>
      <c r="AU52" s="12" t="s">
        <v>446</v>
      </c>
      <c r="AV52" s="12" t="s">
        <v>447</v>
      </c>
    </row>
    <row r="53" customFormat="false" ht="15" hidden="false" customHeight="false" outlineLevel="0" collapsed="false">
      <c r="A53" s="12" t="s">
        <v>448</v>
      </c>
      <c r="B53" s="13" t="s">
        <v>449</v>
      </c>
      <c r="C53" s="12" t="s">
        <v>50</v>
      </c>
      <c r="D53" s="14" t="n">
        <v>37745</v>
      </c>
      <c r="E53" s="12" t="n">
        <f aca="false">DATEDIF(D53,'Chú giải'!$B$3,"Y")</f>
        <v>23</v>
      </c>
      <c r="F53" s="13" t="s">
        <v>65</v>
      </c>
      <c r="G53" s="13" t="s">
        <v>99</v>
      </c>
      <c r="H53" s="15" t="s">
        <v>450</v>
      </c>
      <c r="I53" s="13" t="s">
        <v>451</v>
      </c>
      <c r="J53" s="13" t="s">
        <v>452</v>
      </c>
      <c r="K53" s="13" t="s">
        <v>453</v>
      </c>
      <c r="L53" s="13" t="s">
        <v>94</v>
      </c>
      <c r="M53" s="12" t="s">
        <v>72</v>
      </c>
      <c r="N53" s="12" t="s">
        <v>60</v>
      </c>
      <c r="O53" s="12" t="s">
        <v>60</v>
      </c>
      <c r="P53" s="12" t="n">
        <v>6</v>
      </c>
      <c r="Q53" s="16" t="n">
        <v>3</v>
      </c>
      <c r="R53" s="16" t="n">
        <v>3.5</v>
      </c>
      <c r="S53" s="13"/>
      <c r="T53" s="14" t="n">
        <v>46327</v>
      </c>
      <c r="U53" s="12" t="n">
        <v>6</v>
      </c>
      <c r="V53" s="12" t="n">
        <v>3</v>
      </c>
      <c r="W53" s="12" t="n">
        <v>2</v>
      </c>
      <c r="X53" s="12" t="n">
        <v>1</v>
      </c>
      <c r="Y53" s="12" t="n">
        <v>2</v>
      </c>
      <c r="Z53" s="12" t="n">
        <v>2</v>
      </c>
      <c r="AA53" s="12" t="n">
        <v>2</v>
      </c>
      <c r="AB53" s="12" t="n">
        <v>2</v>
      </c>
      <c r="AC53" s="12" t="n">
        <v>1</v>
      </c>
      <c r="AD53" s="12" t="n">
        <v>2</v>
      </c>
      <c r="AE53" s="12" t="n">
        <v>1</v>
      </c>
      <c r="AF53" s="12" t="n">
        <v>1</v>
      </c>
      <c r="AG53" s="12" t="n">
        <v>1</v>
      </c>
      <c r="AH53" s="12" t="n">
        <v>2</v>
      </c>
      <c r="AI53" s="12" t="n">
        <v>2</v>
      </c>
      <c r="AJ53" s="12" t="n">
        <v>2</v>
      </c>
      <c r="AK53" s="12" t="n">
        <v>4</v>
      </c>
      <c r="AL53" s="12" t="n">
        <v>1</v>
      </c>
      <c r="AM53" s="12"/>
      <c r="AN53" s="12" t="n">
        <v>0</v>
      </c>
      <c r="AO53" s="12"/>
      <c r="AP53" s="12"/>
      <c r="AQ53" s="12" t="n">
        <v>0</v>
      </c>
      <c r="AR53" s="12"/>
      <c r="AS53" s="12" t="n">
        <v>0</v>
      </c>
      <c r="AT53" s="12" t="s">
        <v>73</v>
      </c>
      <c r="AU53" s="12" t="s">
        <v>114</v>
      </c>
      <c r="AV53" s="12" t="s">
        <v>454</v>
      </c>
    </row>
    <row r="54" customFormat="false" ht="15" hidden="false" customHeight="false" outlineLevel="0" collapsed="false">
      <c r="A54" s="7" t="s">
        <v>455</v>
      </c>
      <c r="B54" s="8" t="s">
        <v>456</v>
      </c>
      <c r="C54" s="7" t="s">
        <v>78</v>
      </c>
      <c r="D54" s="9" t="n">
        <v>38458</v>
      </c>
      <c r="E54" s="7" t="n">
        <f aca="false">DATEDIF(D54,'Chú giải'!$B$3,"Y")</f>
        <v>21</v>
      </c>
      <c r="F54" s="8" t="s">
        <v>180</v>
      </c>
      <c r="G54" s="8" t="s">
        <v>457</v>
      </c>
      <c r="H54" s="10" t="s">
        <v>458</v>
      </c>
      <c r="I54" s="8" t="s">
        <v>459</v>
      </c>
      <c r="J54" s="8" t="s">
        <v>460</v>
      </c>
      <c r="K54" s="8" t="s">
        <v>370</v>
      </c>
      <c r="L54" s="8" t="s">
        <v>71</v>
      </c>
      <c r="M54" s="7" t="s">
        <v>72</v>
      </c>
      <c r="N54" s="7" t="s">
        <v>59</v>
      </c>
      <c r="O54" s="7" t="s">
        <v>60</v>
      </c>
      <c r="P54" s="7" t="n">
        <v>6</v>
      </c>
      <c r="Q54" s="11" t="n">
        <v>2.5</v>
      </c>
      <c r="R54" s="11" t="n">
        <v>3.5</v>
      </c>
      <c r="S54" s="8" t="s">
        <v>461</v>
      </c>
      <c r="T54" s="9" t="n">
        <v>46314</v>
      </c>
      <c r="U54" s="7" t="n">
        <v>12</v>
      </c>
      <c r="V54" s="7" t="n">
        <v>3</v>
      </c>
      <c r="W54" s="7" t="n">
        <v>2</v>
      </c>
      <c r="X54" s="7" t="n">
        <v>1</v>
      </c>
      <c r="Y54" s="7" t="n">
        <v>3</v>
      </c>
      <c r="Z54" s="7" t="n">
        <v>2</v>
      </c>
      <c r="AA54" s="7" t="n">
        <v>3</v>
      </c>
      <c r="AB54" s="7" t="n">
        <v>3</v>
      </c>
      <c r="AC54" s="7" t="n">
        <v>3</v>
      </c>
      <c r="AD54" s="7" t="n">
        <v>3</v>
      </c>
      <c r="AE54" s="7" t="n">
        <v>1</v>
      </c>
      <c r="AF54" s="7" t="n">
        <v>1</v>
      </c>
      <c r="AG54" s="7" t="n">
        <v>1</v>
      </c>
      <c r="AH54" s="7" t="n">
        <v>1</v>
      </c>
      <c r="AI54" s="7" t="n">
        <v>3</v>
      </c>
      <c r="AJ54" s="7" t="n">
        <v>1</v>
      </c>
      <c r="AK54" s="7" t="n">
        <v>2</v>
      </c>
      <c r="AL54" s="7" t="n">
        <v>1</v>
      </c>
      <c r="AM54" s="7"/>
      <c r="AN54" s="7" t="n">
        <v>0</v>
      </c>
      <c r="AO54" s="7"/>
      <c r="AP54" s="7"/>
      <c r="AQ54" s="7" t="n">
        <v>0</v>
      </c>
      <c r="AR54" s="7"/>
      <c r="AS54" s="7" t="n">
        <v>0</v>
      </c>
      <c r="AT54" s="7" t="s">
        <v>62</v>
      </c>
      <c r="AU54" s="7"/>
      <c r="AV54" s="7"/>
    </row>
    <row r="55" customFormat="false" ht="15" hidden="false" customHeight="false" outlineLevel="0" collapsed="false">
      <c r="A55" s="12" t="s">
        <v>462</v>
      </c>
      <c r="B55" s="13" t="s">
        <v>463</v>
      </c>
      <c r="C55" s="12" t="s">
        <v>78</v>
      </c>
      <c r="D55" s="14" t="n">
        <v>37740</v>
      </c>
      <c r="E55" s="12" t="n">
        <f aca="false">DATEDIF(D55,'Chú giải'!$B$3,"Y")</f>
        <v>23</v>
      </c>
      <c r="F55" s="13" t="s">
        <v>65</v>
      </c>
      <c r="G55" s="13" t="s">
        <v>99</v>
      </c>
      <c r="H55" s="15" t="s">
        <v>464</v>
      </c>
      <c r="I55" s="13" t="s">
        <v>465</v>
      </c>
      <c r="J55" s="13" t="s">
        <v>466</v>
      </c>
      <c r="K55" s="13" t="s">
        <v>467</v>
      </c>
      <c r="L55" s="13" t="s">
        <v>129</v>
      </c>
      <c r="M55" s="12" t="s">
        <v>72</v>
      </c>
      <c r="N55" s="12" t="s">
        <v>60</v>
      </c>
      <c r="O55" s="12" t="s">
        <v>59</v>
      </c>
      <c r="P55" s="12" t="n">
        <v>6</v>
      </c>
      <c r="Q55" s="16" t="n">
        <v>3</v>
      </c>
      <c r="R55" s="16" t="n">
        <v>3.5</v>
      </c>
      <c r="S55" s="13"/>
      <c r="T55" s="14" t="n">
        <v>46327</v>
      </c>
      <c r="U55" s="12" t="n">
        <v>6</v>
      </c>
      <c r="V55" s="12" t="n">
        <v>3</v>
      </c>
      <c r="W55" s="12" t="n">
        <v>2</v>
      </c>
      <c r="X55" s="12" t="n">
        <v>1</v>
      </c>
      <c r="Y55" s="12" t="n">
        <v>2</v>
      </c>
      <c r="Z55" s="12" t="n">
        <v>2</v>
      </c>
      <c r="AA55" s="12" t="n">
        <v>2</v>
      </c>
      <c r="AB55" s="12" t="n">
        <v>2</v>
      </c>
      <c r="AC55" s="12" t="n">
        <v>1</v>
      </c>
      <c r="AD55" s="12" t="n">
        <v>2</v>
      </c>
      <c r="AE55" s="12" t="n">
        <v>1</v>
      </c>
      <c r="AF55" s="12" t="n">
        <v>1</v>
      </c>
      <c r="AG55" s="12" t="n">
        <v>1</v>
      </c>
      <c r="AH55" s="12" t="n">
        <v>2</v>
      </c>
      <c r="AI55" s="12" t="n">
        <v>2</v>
      </c>
      <c r="AJ55" s="12" t="n">
        <v>2</v>
      </c>
      <c r="AK55" s="12" t="n">
        <v>2</v>
      </c>
      <c r="AL55" s="12" t="n">
        <v>1</v>
      </c>
      <c r="AM55" s="12"/>
      <c r="AN55" s="12" t="n">
        <v>0</v>
      </c>
      <c r="AO55" s="12"/>
      <c r="AP55" s="12"/>
      <c r="AQ55" s="12" t="n">
        <v>0</v>
      </c>
      <c r="AR55" s="12"/>
      <c r="AS55" s="12" t="n">
        <v>0</v>
      </c>
      <c r="AT55" s="12" t="s">
        <v>73</v>
      </c>
      <c r="AU55" s="12" t="s">
        <v>139</v>
      </c>
      <c r="AV55" s="12" t="s">
        <v>468</v>
      </c>
    </row>
    <row r="56" customFormat="false" ht="15" hidden="false" customHeight="false" outlineLevel="0" collapsed="false">
      <c r="A56" s="12" t="s">
        <v>469</v>
      </c>
      <c r="B56" s="13" t="s">
        <v>470</v>
      </c>
      <c r="C56" s="12" t="s">
        <v>78</v>
      </c>
      <c r="D56" s="14" t="n">
        <v>37640</v>
      </c>
      <c r="E56" s="12" t="n">
        <f aca="false">DATEDIF(D56,'Chú giải'!$B$3,"Y")</f>
        <v>23</v>
      </c>
      <c r="F56" s="13" t="s">
        <v>65</v>
      </c>
      <c r="G56" s="13" t="s">
        <v>99</v>
      </c>
      <c r="H56" s="15" t="s">
        <v>471</v>
      </c>
      <c r="I56" s="13" t="s">
        <v>472</v>
      </c>
      <c r="J56" s="13" t="s">
        <v>473</v>
      </c>
      <c r="K56" s="13" t="s">
        <v>474</v>
      </c>
      <c r="L56" s="13" t="s">
        <v>475</v>
      </c>
      <c r="M56" s="12" t="s">
        <v>211</v>
      </c>
      <c r="N56" s="12" t="s">
        <v>60</v>
      </c>
      <c r="O56" s="12" t="s">
        <v>59</v>
      </c>
      <c r="P56" s="12" t="n">
        <v>6</v>
      </c>
      <c r="Q56" s="16" t="n">
        <v>3</v>
      </c>
      <c r="R56" s="16" t="n">
        <v>3.5</v>
      </c>
      <c r="S56" s="13"/>
      <c r="T56" s="14" t="n">
        <v>46327</v>
      </c>
      <c r="U56" s="12" t="n">
        <v>6</v>
      </c>
      <c r="V56" s="12" t="n">
        <v>3</v>
      </c>
      <c r="W56" s="12" t="n">
        <v>2</v>
      </c>
      <c r="X56" s="12" t="n">
        <v>1</v>
      </c>
      <c r="Y56" s="12" t="n">
        <v>2</v>
      </c>
      <c r="Z56" s="12" t="n">
        <v>2</v>
      </c>
      <c r="AA56" s="12" t="n">
        <v>2</v>
      </c>
      <c r="AB56" s="12" t="n">
        <v>2</v>
      </c>
      <c r="AC56" s="12" t="n">
        <v>1</v>
      </c>
      <c r="AD56" s="12" t="n">
        <v>2</v>
      </c>
      <c r="AE56" s="12" t="n">
        <v>1</v>
      </c>
      <c r="AF56" s="12" t="n">
        <v>1</v>
      </c>
      <c r="AG56" s="12" t="n">
        <v>1</v>
      </c>
      <c r="AH56" s="12" t="n">
        <v>2</v>
      </c>
      <c r="AI56" s="12" t="n">
        <v>2</v>
      </c>
      <c r="AJ56" s="12" t="n">
        <v>2</v>
      </c>
      <c r="AK56" s="12" t="n">
        <v>2</v>
      </c>
      <c r="AL56" s="12" t="n">
        <v>1</v>
      </c>
      <c r="AM56" s="12"/>
      <c r="AN56" s="12" t="n">
        <v>0</v>
      </c>
      <c r="AO56" s="12"/>
      <c r="AP56" s="12"/>
      <c r="AQ56" s="12" t="n">
        <v>0</v>
      </c>
      <c r="AR56" s="12"/>
      <c r="AS56" s="12" t="n">
        <v>0</v>
      </c>
      <c r="AT56" s="12" t="s">
        <v>73</v>
      </c>
      <c r="AU56" s="12" t="s">
        <v>476</v>
      </c>
      <c r="AV56" s="12" t="s">
        <v>477</v>
      </c>
    </row>
    <row r="57" customFormat="false" ht="15" hidden="false" customHeight="false" outlineLevel="0" collapsed="false">
      <c r="A57" s="7" t="s">
        <v>478</v>
      </c>
      <c r="B57" s="8" t="s">
        <v>479</v>
      </c>
      <c r="C57" s="7" t="s">
        <v>50</v>
      </c>
      <c r="D57" s="9" t="n">
        <v>35148</v>
      </c>
      <c r="E57" s="7" t="n">
        <f aca="false">DATEDIF(D57,'Chú giải'!$B$3,"Y")</f>
        <v>30</v>
      </c>
      <c r="F57" s="8" t="s">
        <v>197</v>
      </c>
      <c r="G57" s="8" t="s">
        <v>480</v>
      </c>
      <c r="H57" s="10" t="s">
        <v>481</v>
      </c>
      <c r="I57" s="8" t="s">
        <v>482</v>
      </c>
      <c r="J57" s="8" t="s">
        <v>483</v>
      </c>
      <c r="K57" s="8" t="s">
        <v>83</v>
      </c>
      <c r="L57" s="8" t="s">
        <v>57</v>
      </c>
      <c r="M57" s="7" t="s">
        <v>58</v>
      </c>
      <c r="N57" s="7" t="s">
        <v>59</v>
      </c>
      <c r="O57" s="7" t="s">
        <v>60</v>
      </c>
      <c r="P57" s="7" t="n">
        <v>6</v>
      </c>
      <c r="Q57" s="11" t="n">
        <v>4</v>
      </c>
      <c r="R57" s="11" t="n">
        <v>5</v>
      </c>
      <c r="S57" s="8" t="s">
        <v>484</v>
      </c>
      <c r="T57" s="9" t="n">
        <v>46359</v>
      </c>
      <c r="U57" s="7" t="n">
        <v>6</v>
      </c>
      <c r="V57" s="7" t="n">
        <v>6</v>
      </c>
      <c r="W57" s="7" t="n">
        <v>2</v>
      </c>
      <c r="X57" s="7" t="n">
        <v>1</v>
      </c>
      <c r="Y57" s="7" t="n">
        <v>1</v>
      </c>
      <c r="Z57" s="7" t="n">
        <v>4</v>
      </c>
      <c r="AA57" s="7" t="n">
        <v>2</v>
      </c>
      <c r="AB57" s="7" t="n">
        <v>3</v>
      </c>
      <c r="AC57" s="7" t="n">
        <v>2</v>
      </c>
      <c r="AD57" s="7" t="n">
        <v>2</v>
      </c>
      <c r="AE57" s="7" t="n">
        <v>1</v>
      </c>
      <c r="AF57" s="7" t="n">
        <v>1</v>
      </c>
      <c r="AG57" s="7" t="n">
        <v>1</v>
      </c>
      <c r="AH57" s="7" t="n">
        <v>1</v>
      </c>
      <c r="AI57" s="7" t="n">
        <v>1</v>
      </c>
      <c r="AJ57" s="7" t="n">
        <v>3</v>
      </c>
      <c r="AK57" s="7" t="n">
        <v>3</v>
      </c>
      <c r="AL57" s="7" t="n">
        <v>1</v>
      </c>
      <c r="AM57" s="7"/>
      <c r="AN57" s="7" t="n">
        <v>0</v>
      </c>
      <c r="AO57" s="7"/>
      <c r="AP57" s="7"/>
      <c r="AQ57" s="7" t="n">
        <v>0</v>
      </c>
      <c r="AR57" s="7"/>
      <c r="AS57" s="7" t="n">
        <v>0</v>
      </c>
      <c r="AT57" s="7" t="s">
        <v>62</v>
      </c>
      <c r="AU57" s="7"/>
      <c r="AV57" s="7"/>
    </row>
    <row r="58" customFormat="false" ht="15" hidden="false" customHeight="false" outlineLevel="0" collapsed="false">
      <c r="A58" s="12" t="s">
        <v>485</v>
      </c>
      <c r="B58" s="13" t="s">
        <v>486</v>
      </c>
      <c r="C58" s="12" t="s">
        <v>50</v>
      </c>
      <c r="D58" s="14" t="n">
        <v>36995</v>
      </c>
      <c r="E58" s="12" t="n">
        <f aca="false">DATEDIF(D58,'Chú giải'!$B$3,"Y")</f>
        <v>25</v>
      </c>
      <c r="F58" s="13" t="s">
        <v>65</v>
      </c>
      <c r="G58" s="13" t="s">
        <v>66</v>
      </c>
      <c r="H58" s="15" t="s">
        <v>487</v>
      </c>
      <c r="I58" s="13" t="s">
        <v>488</v>
      </c>
      <c r="J58" s="13" t="s">
        <v>489</v>
      </c>
      <c r="K58" s="13" t="s">
        <v>235</v>
      </c>
      <c r="L58" s="13" t="s">
        <v>149</v>
      </c>
      <c r="M58" s="12" t="s">
        <v>72</v>
      </c>
      <c r="N58" s="12" t="s">
        <v>60</v>
      </c>
      <c r="O58" s="12" t="s">
        <v>60</v>
      </c>
      <c r="P58" s="12" t="n">
        <v>6</v>
      </c>
      <c r="Q58" s="16" t="n">
        <v>3</v>
      </c>
      <c r="R58" s="16" t="n">
        <v>3.5</v>
      </c>
      <c r="S58" s="13"/>
      <c r="T58" s="14" t="n">
        <v>46327</v>
      </c>
      <c r="U58" s="12" t="n">
        <v>6</v>
      </c>
      <c r="V58" s="12" t="n">
        <v>3</v>
      </c>
      <c r="W58" s="12" t="n">
        <v>2</v>
      </c>
      <c r="X58" s="12" t="n">
        <v>1</v>
      </c>
      <c r="Y58" s="12" t="n">
        <v>2</v>
      </c>
      <c r="Z58" s="12" t="n">
        <v>2</v>
      </c>
      <c r="AA58" s="12" t="n">
        <v>2</v>
      </c>
      <c r="AB58" s="12" t="n">
        <v>2</v>
      </c>
      <c r="AC58" s="12" t="n">
        <v>1</v>
      </c>
      <c r="AD58" s="12" t="n">
        <v>2</v>
      </c>
      <c r="AE58" s="12" t="n">
        <v>1</v>
      </c>
      <c r="AF58" s="12" t="n">
        <v>1</v>
      </c>
      <c r="AG58" s="12" t="n">
        <v>2</v>
      </c>
      <c r="AH58" s="12" t="n">
        <v>2</v>
      </c>
      <c r="AI58" s="12" t="n">
        <v>2</v>
      </c>
      <c r="AJ58" s="12" t="n">
        <v>2</v>
      </c>
      <c r="AK58" s="12" t="n">
        <v>2</v>
      </c>
      <c r="AL58" s="12" t="n">
        <v>1</v>
      </c>
      <c r="AM58" s="12"/>
      <c r="AN58" s="12" t="n">
        <v>0</v>
      </c>
      <c r="AO58" s="12"/>
      <c r="AP58" s="12"/>
      <c r="AQ58" s="12" t="n">
        <v>0</v>
      </c>
      <c r="AR58" s="12"/>
      <c r="AS58" s="12" t="n">
        <v>0</v>
      </c>
      <c r="AT58" s="12" t="s">
        <v>73</v>
      </c>
      <c r="AU58" s="12" t="s">
        <v>490</v>
      </c>
      <c r="AV58" s="12" t="s">
        <v>491</v>
      </c>
    </row>
    <row r="59" customFormat="false" ht="15" hidden="false" customHeight="false" outlineLevel="0" collapsed="false">
      <c r="A59" s="12" t="s">
        <v>492</v>
      </c>
      <c r="B59" s="13" t="s">
        <v>493</v>
      </c>
      <c r="C59" s="12" t="s">
        <v>78</v>
      </c>
      <c r="D59" s="14" t="n">
        <v>36988</v>
      </c>
      <c r="E59" s="12" t="n">
        <f aca="false">DATEDIF(D59,'Chú giải'!$B$3,"Y")</f>
        <v>25</v>
      </c>
      <c r="F59" s="13" t="s">
        <v>65</v>
      </c>
      <c r="G59" s="13" t="s">
        <v>66</v>
      </c>
      <c r="H59" s="15" t="s">
        <v>494</v>
      </c>
      <c r="I59" s="13" t="s">
        <v>495</v>
      </c>
      <c r="J59" s="13" t="s">
        <v>496</v>
      </c>
      <c r="K59" s="13" t="s">
        <v>235</v>
      </c>
      <c r="L59" s="13" t="s">
        <v>149</v>
      </c>
      <c r="M59" s="12" t="s">
        <v>72</v>
      </c>
      <c r="N59" s="12" t="s">
        <v>60</v>
      </c>
      <c r="O59" s="12" t="s">
        <v>60</v>
      </c>
      <c r="P59" s="12" t="n">
        <v>6</v>
      </c>
      <c r="Q59" s="16" t="n">
        <v>3</v>
      </c>
      <c r="R59" s="16" t="n">
        <v>3.5</v>
      </c>
      <c r="S59" s="13"/>
      <c r="T59" s="14" t="n">
        <v>46327</v>
      </c>
      <c r="U59" s="12" t="n">
        <v>6</v>
      </c>
      <c r="V59" s="12" t="n">
        <v>3</v>
      </c>
      <c r="W59" s="12" t="n">
        <v>2</v>
      </c>
      <c r="X59" s="12" t="n">
        <v>1</v>
      </c>
      <c r="Y59" s="12" t="n">
        <v>2</v>
      </c>
      <c r="Z59" s="12" t="n">
        <v>2</v>
      </c>
      <c r="AA59" s="12" t="n">
        <v>2</v>
      </c>
      <c r="AB59" s="12" t="n">
        <v>2</v>
      </c>
      <c r="AC59" s="12" t="n">
        <v>1</v>
      </c>
      <c r="AD59" s="12" t="n">
        <v>2</v>
      </c>
      <c r="AE59" s="12" t="n">
        <v>1</v>
      </c>
      <c r="AF59" s="12" t="n">
        <v>1</v>
      </c>
      <c r="AG59" s="12" t="n">
        <v>3</v>
      </c>
      <c r="AH59" s="12" t="n">
        <v>2</v>
      </c>
      <c r="AI59" s="12" t="n">
        <v>2</v>
      </c>
      <c r="AJ59" s="12" t="n">
        <v>2</v>
      </c>
      <c r="AK59" s="12" t="n">
        <v>2</v>
      </c>
      <c r="AL59" s="12" t="n">
        <v>1</v>
      </c>
      <c r="AM59" s="12"/>
      <c r="AN59" s="12" t="n">
        <v>0</v>
      </c>
      <c r="AO59" s="12"/>
      <c r="AP59" s="12"/>
      <c r="AQ59" s="12" t="n">
        <v>0</v>
      </c>
      <c r="AR59" s="12"/>
      <c r="AS59" s="12" t="n">
        <v>0</v>
      </c>
      <c r="AT59" s="12" t="s">
        <v>73</v>
      </c>
      <c r="AU59" s="12" t="s">
        <v>176</v>
      </c>
      <c r="AV59" s="12" t="s">
        <v>497</v>
      </c>
    </row>
    <row r="60" customFormat="false" ht="15" hidden="false" customHeight="false" outlineLevel="0" collapsed="false">
      <c r="A60" s="12" t="s">
        <v>498</v>
      </c>
      <c r="B60" s="13" t="s">
        <v>499</v>
      </c>
      <c r="C60" s="12" t="s">
        <v>78</v>
      </c>
      <c r="D60" s="14" t="n">
        <v>37802</v>
      </c>
      <c r="E60" s="12" t="n">
        <f aca="false">DATEDIF(D60,'Chú giải'!$B$3,"Y")</f>
        <v>23</v>
      </c>
      <c r="F60" s="13" t="s">
        <v>65</v>
      </c>
      <c r="G60" s="13" t="s">
        <v>99</v>
      </c>
      <c r="H60" s="15" t="s">
        <v>500</v>
      </c>
      <c r="I60" s="13" t="s">
        <v>501</v>
      </c>
      <c r="J60" s="13" t="s">
        <v>502</v>
      </c>
      <c r="K60" s="13" t="s">
        <v>202</v>
      </c>
      <c r="L60" s="13" t="s">
        <v>113</v>
      </c>
      <c r="M60" s="12" t="s">
        <v>72</v>
      </c>
      <c r="N60" s="12" t="s">
        <v>60</v>
      </c>
      <c r="O60" s="12" t="s">
        <v>60</v>
      </c>
      <c r="P60" s="12" t="n">
        <v>6</v>
      </c>
      <c r="Q60" s="16" t="n">
        <v>3</v>
      </c>
      <c r="R60" s="16" t="n">
        <v>3.5</v>
      </c>
      <c r="S60" s="13"/>
      <c r="T60" s="14" t="n">
        <v>46327</v>
      </c>
      <c r="U60" s="12" t="n">
        <v>6</v>
      </c>
      <c r="V60" s="12" t="n">
        <v>3</v>
      </c>
      <c r="W60" s="12" t="n">
        <v>2</v>
      </c>
      <c r="X60" s="12" t="n">
        <v>1</v>
      </c>
      <c r="Y60" s="12" t="n">
        <v>4</v>
      </c>
      <c r="Z60" s="12" t="n">
        <v>2</v>
      </c>
      <c r="AA60" s="12" t="n">
        <v>2</v>
      </c>
      <c r="AB60" s="12" t="n">
        <v>2</v>
      </c>
      <c r="AC60" s="12" t="n">
        <v>1</v>
      </c>
      <c r="AD60" s="12" t="n">
        <v>2</v>
      </c>
      <c r="AE60" s="12" t="n">
        <v>1</v>
      </c>
      <c r="AF60" s="12" t="n">
        <v>1</v>
      </c>
      <c r="AG60" s="12" t="n">
        <v>1</v>
      </c>
      <c r="AH60" s="12" t="n">
        <v>2</v>
      </c>
      <c r="AI60" s="12" t="n">
        <v>2</v>
      </c>
      <c r="AJ60" s="12" t="n">
        <v>2</v>
      </c>
      <c r="AK60" s="12" t="n">
        <v>2</v>
      </c>
      <c r="AL60" s="12" t="n">
        <v>1</v>
      </c>
      <c r="AM60" s="12"/>
      <c r="AN60" s="12" t="n">
        <v>0</v>
      </c>
      <c r="AO60" s="12"/>
      <c r="AP60" s="12"/>
      <c r="AQ60" s="12" t="n">
        <v>0</v>
      </c>
      <c r="AR60" s="12"/>
      <c r="AS60" s="12" t="n">
        <v>0</v>
      </c>
      <c r="AT60" s="12" t="s">
        <v>73</v>
      </c>
      <c r="AU60" s="12" t="s">
        <v>503</v>
      </c>
      <c r="AV60" s="12" t="s">
        <v>504</v>
      </c>
    </row>
    <row r="61" customFormat="false" ht="15" hidden="false" customHeight="false" outlineLevel="0" collapsed="false">
      <c r="A61" s="12" t="s">
        <v>505</v>
      </c>
      <c r="B61" s="13" t="s">
        <v>506</v>
      </c>
      <c r="C61" s="12" t="s">
        <v>50</v>
      </c>
      <c r="D61" s="14" t="n">
        <v>37066</v>
      </c>
      <c r="E61" s="12" t="n">
        <f aca="false">DATEDIF(D61,'Chú giải'!$B$3,"Y")</f>
        <v>25</v>
      </c>
      <c r="F61" s="13" t="s">
        <v>65</v>
      </c>
      <c r="G61" s="13" t="s">
        <v>66</v>
      </c>
      <c r="H61" s="15" t="s">
        <v>507</v>
      </c>
      <c r="I61" s="13" t="s">
        <v>508</v>
      </c>
      <c r="J61" s="13" t="s">
        <v>509</v>
      </c>
      <c r="K61" s="13" t="s">
        <v>210</v>
      </c>
      <c r="L61" s="13" t="s">
        <v>149</v>
      </c>
      <c r="M61" s="12" t="s">
        <v>72</v>
      </c>
      <c r="N61" s="12" t="s">
        <v>60</v>
      </c>
      <c r="O61" s="12" t="s">
        <v>60</v>
      </c>
      <c r="P61" s="12" t="n">
        <v>6</v>
      </c>
      <c r="Q61" s="16" t="n">
        <v>3</v>
      </c>
      <c r="R61" s="16" t="n">
        <v>3.5</v>
      </c>
      <c r="S61" s="13"/>
      <c r="T61" s="14" t="n">
        <v>46327</v>
      </c>
      <c r="U61" s="12" t="n">
        <v>6</v>
      </c>
      <c r="V61" s="12" t="n">
        <v>3</v>
      </c>
      <c r="W61" s="12" t="n">
        <v>2</v>
      </c>
      <c r="X61" s="12" t="n">
        <v>1</v>
      </c>
      <c r="Y61" s="12" t="n">
        <v>2</v>
      </c>
      <c r="Z61" s="12" t="n">
        <v>2</v>
      </c>
      <c r="AA61" s="12" t="n">
        <v>2</v>
      </c>
      <c r="AB61" s="12" t="n">
        <v>2</v>
      </c>
      <c r="AC61" s="12" t="n">
        <v>1</v>
      </c>
      <c r="AD61" s="12" t="n">
        <v>2</v>
      </c>
      <c r="AE61" s="12" t="n">
        <v>1</v>
      </c>
      <c r="AF61" s="12" t="n">
        <v>1</v>
      </c>
      <c r="AG61" s="12" t="n">
        <v>1</v>
      </c>
      <c r="AH61" s="12" t="n">
        <v>2</v>
      </c>
      <c r="AI61" s="12" t="n">
        <v>2</v>
      </c>
      <c r="AJ61" s="12" t="n">
        <v>2</v>
      </c>
      <c r="AK61" s="12" t="n">
        <v>2</v>
      </c>
      <c r="AL61" s="12" t="n">
        <v>1</v>
      </c>
      <c r="AM61" s="12"/>
      <c r="AN61" s="12" t="n">
        <v>0</v>
      </c>
      <c r="AO61" s="12"/>
      <c r="AP61" s="12"/>
      <c r="AQ61" s="12" t="n">
        <v>0</v>
      </c>
      <c r="AR61" s="12"/>
      <c r="AS61" s="12" t="n">
        <v>0</v>
      </c>
      <c r="AT61" s="12" t="s">
        <v>73</v>
      </c>
      <c r="AU61" s="12" t="s">
        <v>394</v>
      </c>
      <c r="AV61" s="12" t="s">
        <v>510</v>
      </c>
    </row>
    <row r="62" customFormat="false" ht="15" hidden="false" customHeight="false" outlineLevel="0" collapsed="false">
      <c r="A62" s="12" t="s">
        <v>511</v>
      </c>
      <c r="B62" s="13" t="s">
        <v>512</v>
      </c>
      <c r="C62" s="12" t="s">
        <v>78</v>
      </c>
      <c r="D62" s="14" t="n">
        <v>37015</v>
      </c>
      <c r="E62" s="12" t="n">
        <f aca="false">DATEDIF(D62,'Chú giải'!$B$3,"Y")</f>
        <v>25</v>
      </c>
      <c r="F62" s="13" t="s">
        <v>65</v>
      </c>
      <c r="G62" s="13" t="s">
        <v>66</v>
      </c>
      <c r="H62" s="15" t="s">
        <v>513</v>
      </c>
      <c r="I62" s="13" t="s">
        <v>514</v>
      </c>
      <c r="J62" s="13" t="s">
        <v>515</v>
      </c>
      <c r="K62" s="13" t="s">
        <v>285</v>
      </c>
      <c r="L62" s="13" t="s">
        <v>57</v>
      </c>
      <c r="M62" s="12" t="s">
        <v>72</v>
      </c>
      <c r="N62" s="12" t="s">
        <v>60</v>
      </c>
      <c r="O62" s="12" t="s">
        <v>60</v>
      </c>
      <c r="P62" s="12" t="n">
        <v>6</v>
      </c>
      <c r="Q62" s="16" t="n">
        <v>3</v>
      </c>
      <c r="R62" s="16" t="n">
        <v>3.5</v>
      </c>
      <c r="S62" s="13"/>
      <c r="T62" s="14" t="n">
        <v>46327</v>
      </c>
      <c r="U62" s="12" t="n">
        <v>6</v>
      </c>
      <c r="V62" s="12" t="n">
        <v>3</v>
      </c>
      <c r="W62" s="12" t="n">
        <v>2</v>
      </c>
      <c r="X62" s="12" t="n">
        <v>1</v>
      </c>
      <c r="Y62" s="12" t="n">
        <v>1</v>
      </c>
      <c r="Z62" s="12" t="n">
        <v>2</v>
      </c>
      <c r="AA62" s="12" t="n">
        <v>2</v>
      </c>
      <c r="AB62" s="12" t="n">
        <v>2</v>
      </c>
      <c r="AC62" s="12" t="n">
        <v>1</v>
      </c>
      <c r="AD62" s="12" t="n">
        <v>2</v>
      </c>
      <c r="AE62" s="12" t="n">
        <v>1</v>
      </c>
      <c r="AF62" s="12" t="n">
        <v>1</v>
      </c>
      <c r="AG62" s="12" t="n">
        <v>1</v>
      </c>
      <c r="AH62" s="12" t="n">
        <v>2</v>
      </c>
      <c r="AI62" s="12" t="n">
        <v>2</v>
      </c>
      <c r="AJ62" s="12" t="n">
        <v>2</v>
      </c>
      <c r="AK62" s="12" t="n">
        <v>2</v>
      </c>
      <c r="AL62" s="12" t="n">
        <v>1</v>
      </c>
      <c r="AM62" s="12"/>
      <c r="AN62" s="12" t="n">
        <v>0</v>
      </c>
      <c r="AO62" s="12"/>
      <c r="AP62" s="12"/>
      <c r="AQ62" s="12" t="n">
        <v>0</v>
      </c>
      <c r="AR62" s="12"/>
      <c r="AS62" s="12" t="n">
        <v>0</v>
      </c>
      <c r="AT62" s="12" t="s">
        <v>73</v>
      </c>
      <c r="AU62" s="12" t="s">
        <v>503</v>
      </c>
      <c r="AV62" s="12" t="s">
        <v>516</v>
      </c>
    </row>
    <row r="63" customFormat="false" ht="15" hidden="false" customHeight="false" outlineLevel="0" collapsed="false">
      <c r="A63" s="12" t="s">
        <v>517</v>
      </c>
      <c r="B63" s="13" t="s">
        <v>518</v>
      </c>
      <c r="C63" s="12" t="s">
        <v>78</v>
      </c>
      <c r="D63" s="14" t="n">
        <v>37046</v>
      </c>
      <c r="E63" s="12" t="n">
        <f aca="false">DATEDIF(D63,'Chú giải'!$B$3,"Y")</f>
        <v>25</v>
      </c>
      <c r="F63" s="13" t="s">
        <v>65</v>
      </c>
      <c r="G63" s="13" t="s">
        <v>66</v>
      </c>
      <c r="H63" s="15" t="s">
        <v>519</v>
      </c>
      <c r="I63" s="13" t="s">
        <v>520</v>
      </c>
      <c r="J63" s="13" t="s">
        <v>521</v>
      </c>
      <c r="K63" s="13" t="s">
        <v>164</v>
      </c>
      <c r="L63" s="13" t="s">
        <v>138</v>
      </c>
      <c r="M63" s="12" t="s">
        <v>72</v>
      </c>
      <c r="N63" s="12" t="s">
        <v>60</v>
      </c>
      <c r="O63" s="12" t="s">
        <v>60</v>
      </c>
      <c r="P63" s="12" t="n">
        <v>6</v>
      </c>
      <c r="Q63" s="16" t="n">
        <v>3</v>
      </c>
      <c r="R63" s="16" t="n">
        <v>3.5</v>
      </c>
      <c r="S63" s="13"/>
      <c r="T63" s="14" t="n">
        <v>46327</v>
      </c>
      <c r="U63" s="12" t="n">
        <v>3</v>
      </c>
      <c r="V63" s="12" t="n">
        <v>3</v>
      </c>
      <c r="W63" s="12" t="n">
        <v>2</v>
      </c>
      <c r="X63" s="12" t="n">
        <v>1</v>
      </c>
      <c r="Y63" s="12" t="n">
        <v>2</v>
      </c>
      <c r="Z63" s="12" t="n">
        <v>2</v>
      </c>
      <c r="AA63" s="12" t="n">
        <v>2</v>
      </c>
      <c r="AB63" s="12" t="n">
        <v>2</v>
      </c>
      <c r="AC63" s="12" t="n">
        <v>1</v>
      </c>
      <c r="AD63" s="12" t="n">
        <v>2</v>
      </c>
      <c r="AE63" s="12" t="n">
        <v>1</v>
      </c>
      <c r="AF63" s="12" t="n">
        <v>1</v>
      </c>
      <c r="AG63" s="12" t="n">
        <v>1</v>
      </c>
      <c r="AH63" s="12" t="n">
        <v>2</v>
      </c>
      <c r="AI63" s="12" t="n">
        <v>2</v>
      </c>
      <c r="AJ63" s="12" t="n">
        <v>2</v>
      </c>
      <c r="AK63" s="12" t="n">
        <v>2</v>
      </c>
      <c r="AL63" s="12" t="n">
        <v>1</v>
      </c>
      <c r="AM63" s="12"/>
      <c r="AN63" s="12" t="n">
        <v>0</v>
      </c>
      <c r="AO63" s="12"/>
      <c r="AP63" s="12"/>
      <c r="AQ63" s="12" t="n">
        <v>0</v>
      </c>
      <c r="AR63" s="12"/>
      <c r="AS63" s="12" t="n">
        <v>0</v>
      </c>
      <c r="AT63" s="12" t="s">
        <v>73</v>
      </c>
      <c r="AU63" s="12" t="s">
        <v>522</v>
      </c>
      <c r="AV63" s="12" t="s">
        <v>523</v>
      </c>
    </row>
    <row r="64" customFormat="false" ht="15" hidden="false" customHeight="false" outlineLevel="0" collapsed="false">
      <c r="A64" s="7" t="s">
        <v>524</v>
      </c>
      <c r="B64" s="8" t="s">
        <v>525</v>
      </c>
      <c r="C64" s="7" t="s">
        <v>78</v>
      </c>
      <c r="D64" s="9" t="n">
        <v>36554</v>
      </c>
      <c r="E64" s="7" t="n">
        <f aca="false">DATEDIF(D64,'Chú giải'!$B$3,"Y")</f>
        <v>26</v>
      </c>
      <c r="F64" s="8" t="s">
        <v>143</v>
      </c>
      <c r="G64" s="8" t="s">
        <v>144</v>
      </c>
      <c r="H64" s="10" t="s">
        <v>526</v>
      </c>
      <c r="I64" s="8" t="s">
        <v>527</v>
      </c>
      <c r="J64" s="8" t="s">
        <v>528</v>
      </c>
      <c r="K64" s="8" t="s">
        <v>370</v>
      </c>
      <c r="L64" s="8" t="s">
        <v>71</v>
      </c>
      <c r="M64" s="7" t="s">
        <v>211</v>
      </c>
      <c r="N64" s="7" t="s">
        <v>60</v>
      </c>
      <c r="O64" s="7" t="s">
        <v>60</v>
      </c>
      <c r="P64" s="7" t="n">
        <v>6</v>
      </c>
      <c r="Q64" s="11" t="n">
        <v>3.5</v>
      </c>
      <c r="R64" s="11" t="n">
        <v>4</v>
      </c>
      <c r="S64" s="8"/>
      <c r="T64" s="9" t="n">
        <v>46341</v>
      </c>
      <c r="U64" s="7" t="n">
        <v>3</v>
      </c>
      <c r="V64" s="7" t="n">
        <v>3</v>
      </c>
      <c r="W64" s="7" t="n">
        <v>4</v>
      </c>
      <c r="X64" s="7"/>
      <c r="Y64" s="7" t="n">
        <v>1</v>
      </c>
      <c r="Z64" s="7" t="n">
        <v>3</v>
      </c>
      <c r="AA64" s="7" t="n">
        <v>3</v>
      </c>
      <c r="AB64" s="7" t="n">
        <v>2</v>
      </c>
      <c r="AC64" s="7" t="n">
        <v>1</v>
      </c>
      <c r="AD64" s="7" t="n">
        <v>2</v>
      </c>
      <c r="AE64" s="7" t="n">
        <v>2</v>
      </c>
      <c r="AF64" s="7" t="n">
        <v>2</v>
      </c>
      <c r="AG64" s="7"/>
      <c r="AH64" s="7" t="n">
        <v>3</v>
      </c>
      <c r="AI64" s="7"/>
      <c r="AJ64" s="7" t="n">
        <v>2</v>
      </c>
      <c r="AK64" s="7" t="n">
        <v>2</v>
      </c>
      <c r="AL64" s="7" t="n">
        <v>1</v>
      </c>
      <c r="AM64" s="7" t="n">
        <v>76</v>
      </c>
      <c r="AN64" s="7" t="n">
        <v>8</v>
      </c>
      <c r="AO64" s="7" t="n">
        <v>87</v>
      </c>
      <c r="AP64" s="7" t="n">
        <v>4.4</v>
      </c>
      <c r="AQ64" s="7" t="n">
        <v>1</v>
      </c>
      <c r="AR64" s="7" t="n">
        <v>4.3</v>
      </c>
      <c r="AS64" s="7" t="n">
        <v>0</v>
      </c>
      <c r="AT64" s="7" t="s">
        <v>86</v>
      </c>
      <c r="AU64" s="7"/>
      <c r="AV64" s="7" t="s">
        <v>529</v>
      </c>
    </row>
    <row r="65" customFormat="false" ht="15" hidden="false" customHeight="false" outlineLevel="0" collapsed="false">
      <c r="A65" s="7" t="s">
        <v>530</v>
      </c>
      <c r="B65" s="8" t="s">
        <v>531</v>
      </c>
      <c r="C65" s="7" t="s">
        <v>78</v>
      </c>
      <c r="D65" s="9" t="n">
        <v>36227</v>
      </c>
      <c r="E65" s="7" t="n">
        <f aca="false">DATEDIF(D65,'Chú giải'!$B$3,"Y")</f>
        <v>27</v>
      </c>
      <c r="F65" s="8" t="s">
        <v>532</v>
      </c>
      <c r="G65" s="8" t="s">
        <v>533</v>
      </c>
      <c r="H65" s="10" t="s">
        <v>534</v>
      </c>
      <c r="I65" s="8" t="s">
        <v>535</v>
      </c>
      <c r="J65" s="8" t="s">
        <v>536</v>
      </c>
      <c r="K65" s="8" t="s">
        <v>277</v>
      </c>
      <c r="L65" s="8" t="s">
        <v>129</v>
      </c>
      <c r="M65" s="7" t="s">
        <v>211</v>
      </c>
      <c r="N65" s="7" t="s">
        <v>60</v>
      </c>
      <c r="O65" s="7" t="s">
        <v>60</v>
      </c>
      <c r="P65" s="7" t="n">
        <v>6</v>
      </c>
      <c r="Q65" s="11" t="n">
        <v>3</v>
      </c>
      <c r="R65" s="11" t="n">
        <v>3.5</v>
      </c>
      <c r="S65" s="8" t="s">
        <v>537</v>
      </c>
      <c r="T65" s="9" t="n">
        <v>46318</v>
      </c>
      <c r="U65" s="7" t="n">
        <v>9</v>
      </c>
      <c r="V65" s="7" t="n">
        <v>3</v>
      </c>
      <c r="W65" s="7" t="n">
        <v>2</v>
      </c>
      <c r="X65" s="7" t="n">
        <v>1</v>
      </c>
      <c r="Y65" s="7" t="n">
        <v>2</v>
      </c>
      <c r="Z65" s="7" t="n">
        <v>4</v>
      </c>
      <c r="AA65" s="7"/>
      <c r="AB65" s="7" t="n">
        <v>2</v>
      </c>
      <c r="AC65" s="7" t="n">
        <v>1</v>
      </c>
      <c r="AD65" s="7" t="n">
        <v>2</v>
      </c>
      <c r="AE65" s="7"/>
      <c r="AF65" s="7" t="n">
        <v>1</v>
      </c>
      <c r="AG65" s="7"/>
      <c r="AH65" s="7" t="n">
        <v>1</v>
      </c>
      <c r="AI65" s="7" t="n">
        <v>2</v>
      </c>
      <c r="AJ65" s="7"/>
      <c r="AK65" s="7" t="n">
        <v>1</v>
      </c>
      <c r="AL65" s="7" t="n">
        <v>1</v>
      </c>
      <c r="AM65" s="7"/>
      <c r="AN65" s="7" t="n">
        <v>0</v>
      </c>
      <c r="AO65" s="7"/>
      <c r="AP65" s="7"/>
      <c r="AQ65" s="7" t="n">
        <v>0</v>
      </c>
      <c r="AR65" s="7"/>
      <c r="AS65" s="7" t="n">
        <v>0</v>
      </c>
      <c r="AT65" s="7" t="s">
        <v>86</v>
      </c>
      <c r="AU65" s="7"/>
      <c r="AV65" s="7" t="s">
        <v>538</v>
      </c>
    </row>
    <row r="66" customFormat="false" ht="15" hidden="false" customHeight="false" outlineLevel="0" collapsed="false">
      <c r="A66" s="12" t="s">
        <v>539</v>
      </c>
      <c r="B66" s="13" t="s">
        <v>540</v>
      </c>
      <c r="C66" s="12" t="s">
        <v>50</v>
      </c>
      <c r="D66" s="14" t="n">
        <v>37711</v>
      </c>
      <c r="E66" s="12" t="n">
        <f aca="false">DATEDIF(D66,'Chú giải'!$B$3,"Y")</f>
        <v>23</v>
      </c>
      <c r="F66" s="13" t="s">
        <v>65</v>
      </c>
      <c r="G66" s="13" t="s">
        <v>99</v>
      </c>
      <c r="H66" s="15" t="s">
        <v>541</v>
      </c>
      <c r="I66" s="13" t="s">
        <v>542</v>
      </c>
      <c r="J66" s="13" t="s">
        <v>543</v>
      </c>
      <c r="K66" s="13" t="s">
        <v>544</v>
      </c>
      <c r="L66" s="13" t="s">
        <v>262</v>
      </c>
      <c r="M66" s="12" t="s">
        <v>72</v>
      </c>
      <c r="N66" s="12" t="s">
        <v>60</v>
      </c>
      <c r="O66" s="12" t="s">
        <v>60</v>
      </c>
      <c r="P66" s="12" t="n">
        <v>6</v>
      </c>
      <c r="Q66" s="16" t="n">
        <v>3</v>
      </c>
      <c r="R66" s="16" t="n">
        <v>3.5</v>
      </c>
      <c r="S66" s="13"/>
      <c r="T66" s="14" t="n">
        <v>46327</v>
      </c>
      <c r="U66" s="12" t="n">
        <v>6</v>
      </c>
      <c r="V66" s="12" t="n">
        <v>3</v>
      </c>
      <c r="W66" s="12" t="n">
        <v>2</v>
      </c>
      <c r="X66" s="12" t="n">
        <v>1</v>
      </c>
      <c r="Y66" s="12" t="n">
        <v>2</v>
      </c>
      <c r="Z66" s="12" t="n">
        <v>2</v>
      </c>
      <c r="AA66" s="12" t="n">
        <v>2</v>
      </c>
      <c r="AB66" s="12" t="n">
        <v>2</v>
      </c>
      <c r="AC66" s="12" t="n">
        <v>1</v>
      </c>
      <c r="AD66" s="12" t="n">
        <v>2</v>
      </c>
      <c r="AE66" s="12" t="n">
        <v>1</v>
      </c>
      <c r="AF66" s="12" t="n">
        <v>1</v>
      </c>
      <c r="AG66" s="12" t="n">
        <v>1</v>
      </c>
      <c r="AH66" s="12" t="n">
        <v>2</v>
      </c>
      <c r="AI66" s="12" t="n">
        <v>2</v>
      </c>
      <c r="AJ66" s="12" t="n">
        <v>2</v>
      </c>
      <c r="AK66" s="12" t="n">
        <v>2</v>
      </c>
      <c r="AL66" s="12" t="n">
        <v>1</v>
      </c>
      <c r="AM66" s="12"/>
      <c r="AN66" s="12" t="n">
        <v>0</v>
      </c>
      <c r="AO66" s="12"/>
      <c r="AP66" s="12"/>
      <c r="AQ66" s="12" t="n">
        <v>0</v>
      </c>
      <c r="AR66" s="12"/>
      <c r="AS66" s="12" t="n">
        <v>2</v>
      </c>
      <c r="AT66" s="12" t="s">
        <v>73</v>
      </c>
      <c r="AU66" s="12" t="s">
        <v>316</v>
      </c>
      <c r="AV66" s="12" t="s">
        <v>545</v>
      </c>
    </row>
    <row r="67" customFormat="false" ht="15" hidden="false" customHeight="false" outlineLevel="0" collapsed="false">
      <c r="A67" s="7" t="s">
        <v>546</v>
      </c>
      <c r="B67" s="8" t="s">
        <v>547</v>
      </c>
      <c r="C67" s="7" t="s">
        <v>50</v>
      </c>
      <c r="D67" s="9" t="n">
        <v>39455</v>
      </c>
      <c r="E67" s="7" t="n">
        <f aca="false">DATEDIF(D67,'Chú giải'!$B$3,"Y")</f>
        <v>18</v>
      </c>
      <c r="F67" s="8" t="s">
        <v>51</v>
      </c>
      <c r="G67" s="8" t="s">
        <v>548</v>
      </c>
      <c r="H67" s="10" t="s">
        <v>549</v>
      </c>
      <c r="I67" s="8" t="s">
        <v>550</v>
      </c>
      <c r="J67" s="8" t="s">
        <v>551</v>
      </c>
      <c r="K67" s="8" t="s">
        <v>112</v>
      </c>
      <c r="L67" s="8" t="s">
        <v>113</v>
      </c>
      <c r="M67" s="7" t="s">
        <v>72</v>
      </c>
      <c r="N67" s="7" t="s">
        <v>59</v>
      </c>
      <c r="O67" s="7" t="s">
        <v>60</v>
      </c>
      <c r="P67" s="7" t="n">
        <v>6</v>
      </c>
      <c r="Q67" s="11" t="n">
        <v>2</v>
      </c>
      <c r="R67" s="11" t="n">
        <v>2</v>
      </c>
      <c r="S67" s="8"/>
      <c r="T67" s="9" t="n">
        <v>46365</v>
      </c>
      <c r="U67" s="7" t="n">
        <v>6</v>
      </c>
      <c r="V67" s="7" t="n">
        <v>3</v>
      </c>
      <c r="W67" s="7" t="n">
        <v>2</v>
      </c>
      <c r="X67" s="7" t="n">
        <v>1</v>
      </c>
      <c r="Y67" s="7" t="n">
        <v>1</v>
      </c>
      <c r="Z67" s="7" t="n">
        <v>2</v>
      </c>
      <c r="AA67" s="7" t="n">
        <v>3</v>
      </c>
      <c r="AB67" s="7" t="n">
        <v>3</v>
      </c>
      <c r="AC67" s="7" t="n">
        <v>2</v>
      </c>
      <c r="AD67" s="7" t="n">
        <v>2</v>
      </c>
      <c r="AE67" s="7" t="n">
        <v>1</v>
      </c>
      <c r="AF67" s="7" t="n">
        <v>1</v>
      </c>
      <c r="AG67" s="7" t="n">
        <v>1</v>
      </c>
      <c r="AH67" s="7" t="n">
        <v>2</v>
      </c>
      <c r="AI67" s="7" t="n">
        <v>1</v>
      </c>
      <c r="AJ67" s="7" t="n">
        <v>4</v>
      </c>
      <c r="AK67" s="7" t="n">
        <v>2</v>
      </c>
      <c r="AL67" s="7" t="n">
        <v>2</v>
      </c>
      <c r="AM67" s="7" t="n">
        <v>99</v>
      </c>
      <c r="AN67" s="7" t="n">
        <v>9</v>
      </c>
      <c r="AO67" s="7" t="n">
        <v>93</v>
      </c>
      <c r="AP67" s="7" t="n">
        <v>4.2</v>
      </c>
      <c r="AQ67" s="7" t="n">
        <v>0</v>
      </c>
      <c r="AR67" s="7"/>
      <c r="AS67" s="7" t="n">
        <v>0</v>
      </c>
      <c r="AT67" s="7" t="s">
        <v>62</v>
      </c>
      <c r="AU67" s="7"/>
      <c r="AV67" s="7"/>
    </row>
    <row r="68" customFormat="false" ht="15" hidden="false" customHeight="false" outlineLevel="0" collapsed="false">
      <c r="A68" s="12" t="s">
        <v>552</v>
      </c>
      <c r="B68" s="13" t="s">
        <v>553</v>
      </c>
      <c r="C68" s="12" t="s">
        <v>50</v>
      </c>
      <c r="D68" s="14" t="n">
        <v>37047</v>
      </c>
      <c r="E68" s="12" t="n">
        <f aca="false">DATEDIF(D68,'Chú giải'!$B$3,"Y")</f>
        <v>25</v>
      </c>
      <c r="F68" s="13" t="s">
        <v>65</v>
      </c>
      <c r="G68" s="13" t="s">
        <v>66</v>
      </c>
      <c r="H68" s="15" t="s">
        <v>554</v>
      </c>
      <c r="I68" s="13" t="s">
        <v>555</v>
      </c>
      <c r="J68" s="13" t="s">
        <v>556</v>
      </c>
      <c r="K68" s="13" t="s">
        <v>103</v>
      </c>
      <c r="L68" s="13" t="s">
        <v>104</v>
      </c>
      <c r="M68" s="12" t="s">
        <v>72</v>
      </c>
      <c r="N68" s="12" t="s">
        <v>60</v>
      </c>
      <c r="O68" s="12" t="s">
        <v>60</v>
      </c>
      <c r="P68" s="12" t="n">
        <v>6</v>
      </c>
      <c r="Q68" s="16" t="n">
        <v>3</v>
      </c>
      <c r="R68" s="16" t="n">
        <v>3.5</v>
      </c>
      <c r="S68" s="13"/>
      <c r="T68" s="14" t="n">
        <v>46327</v>
      </c>
      <c r="U68" s="12" t="n">
        <v>6</v>
      </c>
      <c r="V68" s="12" t="n">
        <v>3</v>
      </c>
      <c r="W68" s="12" t="n">
        <v>2</v>
      </c>
      <c r="X68" s="12" t="n">
        <v>1</v>
      </c>
      <c r="Y68" s="12" t="n">
        <v>2</v>
      </c>
      <c r="Z68" s="12" t="n">
        <v>2</v>
      </c>
      <c r="AA68" s="12" t="n">
        <v>2</v>
      </c>
      <c r="AB68" s="12" t="n">
        <v>2</v>
      </c>
      <c r="AC68" s="12" t="n">
        <v>1</v>
      </c>
      <c r="AD68" s="12" t="n">
        <v>2</v>
      </c>
      <c r="AE68" s="12" t="n">
        <v>1</v>
      </c>
      <c r="AF68" s="12" t="n">
        <v>1</v>
      </c>
      <c r="AG68" s="12" t="n">
        <v>1</v>
      </c>
      <c r="AH68" s="12" t="n">
        <v>2</v>
      </c>
      <c r="AI68" s="12" t="n">
        <v>2</v>
      </c>
      <c r="AJ68" s="12" t="n">
        <v>2</v>
      </c>
      <c r="AK68" s="12" t="n">
        <v>2</v>
      </c>
      <c r="AL68" s="12" t="n">
        <v>1</v>
      </c>
      <c r="AM68" s="12"/>
      <c r="AN68" s="12" t="n">
        <v>0</v>
      </c>
      <c r="AO68" s="12"/>
      <c r="AP68" s="12"/>
      <c r="AQ68" s="12" t="n">
        <v>0</v>
      </c>
      <c r="AR68" s="12"/>
      <c r="AS68" s="12" t="n">
        <v>0</v>
      </c>
      <c r="AT68" s="12" t="s">
        <v>73</v>
      </c>
      <c r="AU68" s="12" t="s">
        <v>446</v>
      </c>
      <c r="AV68" s="12" t="s">
        <v>557</v>
      </c>
    </row>
    <row r="69" customFormat="false" ht="15" hidden="false" customHeight="false" outlineLevel="0" collapsed="false">
      <c r="A69" s="12" t="s">
        <v>558</v>
      </c>
      <c r="B69" s="13" t="s">
        <v>559</v>
      </c>
      <c r="C69" s="12" t="s">
        <v>78</v>
      </c>
      <c r="D69" s="14" t="n">
        <v>37747</v>
      </c>
      <c r="E69" s="12" t="n">
        <f aca="false">DATEDIF(D69,'Chú giải'!$B$3,"Y")</f>
        <v>23</v>
      </c>
      <c r="F69" s="13" t="s">
        <v>65</v>
      </c>
      <c r="G69" s="13" t="s">
        <v>99</v>
      </c>
      <c r="H69" s="15" t="s">
        <v>560</v>
      </c>
      <c r="I69" s="13" t="s">
        <v>561</v>
      </c>
      <c r="J69" s="13" t="s">
        <v>562</v>
      </c>
      <c r="K69" s="13" t="s">
        <v>393</v>
      </c>
      <c r="L69" s="13" t="s">
        <v>271</v>
      </c>
      <c r="M69" s="12" t="s">
        <v>58</v>
      </c>
      <c r="N69" s="12" t="s">
        <v>60</v>
      </c>
      <c r="O69" s="12" t="s">
        <v>59</v>
      </c>
      <c r="P69" s="12" t="n">
        <v>6</v>
      </c>
      <c r="Q69" s="16" t="n">
        <v>3</v>
      </c>
      <c r="R69" s="16" t="n">
        <v>3.5</v>
      </c>
      <c r="S69" s="13"/>
      <c r="T69" s="14" t="n">
        <v>46327</v>
      </c>
      <c r="U69" s="12" t="n">
        <v>6</v>
      </c>
      <c r="V69" s="12" t="n">
        <v>3</v>
      </c>
      <c r="W69" s="12" t="n">
        <v>2</v>
      </c>
      <c r="X69" s="12" t="n">
        <v>1</v>
      </c>
      <c r="Y69" s="12" t="n">
        <v>2</v>
      </c>
      <c r="Z69" s="12" t="n">
        <v>2</v>
      </c>
      <c r="AA69" s="12" t="n">
        <v>2</v>
      </c>
      <c r="AB69" s="12" t="n">
        <v>2</v>
      </c>
      <c r="AC69" s="12" t="n">
        <v>1</v>
      </c>
      <c r="AD69" s="12" t="n">
        <v>2</v>
      </c>
      <c r="AE69" s="12" t="n">
        <v>1</v>
      </c>
      <c r="AF69" s="12" t="n">
        <v>1</v>
      </c>
      <c r="AG69" s="12" t="n">
        <v>1</v>
      </c>
      <c r="AH69" s="12" t="n">
        <v>2</v>
      </c>
      <c r="AI69" s="12" t="n">
        <v>2</v>
      </c>
      <c r="AJ69" s="12" t="n">
        <v>2</v>
      </c>
      <c r="AK69" s="12" t="n">
        <v>2</v>
      </c>
      <c r="AL69" s="12" t="n">
        <v>1</v>
      </c>
      <c r="AM69" s="12"/>
      <c r="AN69" s="12" t="n">
        <v>0</v>
      </c>
      <c r="AO69" s="12"/>
      <c r="AP69" s="12"/>
      <c r="AQ69" s="12" t="n">
        <v>0</v>
      </c>
      <c r="AR69" s="12"/>
      <c r="AS69" s="12" t="n">
        <v>0</v>
      </c>
      <c r="AT69" s="12" t="s">
        <v>73</v>
      </c>
      <c r="AU69" s="12" t="s">
        <v>363</v>
      </c>
      <c r="AV69" s="12" t="s">
        <v>563</v>
      </c>
    </row>
    <row r="70" customFormat="false" ht="15" hidden="false" customHeight="false" outlineLevel="0" collapsed="false">
      <c r="A70" s="7" t="s">
        <v>564</v>
      </c>
      <c r="B70" s="8" t="s">
        <v>565</v>
      </c>
      <c r="C70" s="7" t="s">
        <v>78</v>
      </c>
      <c r="D70" s="9" t="n">
        <v>37638</v>
      </c>
      <c r="E70" s="7" t="n">
        <f aca="false">DATEDIF(D70,'Chú giải'!$B$3,"Y")</f>
        <v>23</v>
      </c>
      <c r="F70" s="8" t="s">
        <v>79</v>
      </c>
      <c r="G70" s="8" t="s">
        <v>223</v>
      </c>
      <c r="H70" s="10" t="s">
        <v>566</v>
      </c>
      <c r="I70" s="8" t="s">
        <v>567</v>
      </c>
      <c r="J70" s="8" t="s">
        <v>568</v>
      </c>
      <c r="K70" s="8" t="s">
        <v>137</v>
      </c>
      <c r="L70" s="8" t="s">
        <v>138</v>
      </c>
      <c r="M70" s="7" t="s">
        <v>211</v>
      </c>
      <c r="N70" s="7" t="s">
        <v>60</v>
      </c>
      <c r="O70" s="7" t="s">
        <v>60</v>
      </c>
      <c r="P70" s="7" t="n">
        <v>6</v>
      </c>
      <c r="Q70" s="11" t="n">
        <v>2.5</v>
      </c>
      <c r="R70" s="11" t="n">
        <v>4</v>
      </c>
      <c r="S70" s="8"/>
      <c r="T70" s="9" t="n">
        <v>46340</v>
      </c>
      <c r="U70" s="7" t="n">
        <v>3</v>
      </c>
      <c r="V70" s="7" t="n">
        <v>3</v>
      </c>
      <c r="W70" s="7" t="n">
        <v>2</v>
      </c>
      <c r="X70" s="7" t="n">
        <v>1</v>
      </c>
      <c r="Y70" s="7" t="n">
        <v>2</v>
      </c>
      <c r="Z70" s="7" t="n">
        <v>4</v>
      </c>
      <c r="AA70" s="7" t="n">
        <v>3</v>
      </c>
      <c r="AB70" s="7" t="n">
        <v>2</v>
      </c>
      <c r="AC70" s="7" t="n">
        <v>1</v>
      </c>
      <c r="AD70" s="7" t="n">
        <v>3</v>
      </c>
      <c r="AE70" s="7" t="n">
        <v>1</v>
      </c>
      <c r="AF70" s="7" t="n">
        <v>1</v>
      </c>
      <c r="AG70" s="7" t="n">
        <v>1</v>
      </c>
      <c r="AH70" s="7" t="n">
        <v>2</v>
      </c>
      <c r="AI70" s="7" t="n">
        <v>3</v>
      </c>
      <c r="AJ70" s="7" t="n">
        <v>1</v>
      </c>
      <c r="AK70" s="7" t="n">
        <v>2</v>
      </c>
      <c r="AL70" s="7" t="n">
        <v>1</v>
      </c>
      <c r="AM70" s="7" t="n">
        <v>91</v>
      </c>
      <c r="AN70" s="7" t="n">
        <v>10</v>
      </c>
      <c r="AO70" s="7" t="n">
        <v>86</v>
      </c>
      <c r="AP70" s="7" t="n">
        <v>4.7</v>
      </c>
      <c r="AQ70" s="7" t="n">
        <v>4</v>
      </c>
      <c r="AR70" s="7" t="n">
        <v>4</v>
      </c>
      <c r="AS70" s="7" t="n">
        <v>0</v>
      </c>
      <c r="AT70" s="7" t="s">
        <v>62</v>
      </c>
      <c r="AU70" s="7"/>
      <c r="AV70" s="7"/>
    </row>
    <row r="71" customFormat="false" ht="15" hidden="false" customHeight="false" outlineLevel="0" collapsed="false">
      <c r="A71" s="12" t="s">
        <v>569</v>
      </c>
      <c r="B71" s="13" t="s">
        <v>570</v>
      </c>
      <c r="C71" s="12" t="s">
        <v>50</v>
      </c>
      <c r="D71" s="14" t="n">
        <v>37731</v>
      </c>
      <c r="E71" s="12" t="n">
        <f aca="false">DATEDIF(D71,'Chú giải'!$B$3,"Y")</f>
        <v>23</v>
      </c>
      <c r="F71" s="13" t="s">
        <v>65</v>
      </c>
      <c r="G71" s="13" t="s">
        <v>99</v>
      </c>
      <c r="H71" s="15" t="s">
        <v>571</v>
      </c>
      <c r="I71" s="13" t="s">
        <v>572</v>
      </c>
      <c r="J71" s="13" t="s">
        <v>573</v>
      </c>
      <c r="K71" s="13" t="s">
        <v>210</v>
      </c>
      <c r="L71" s="13" t="s">
        <v>149</v>
      </c>
      <c r="M71" s="12" t="s">
        <v>211</v>
      </c>
      <c r="N71" s="12" t="s">
        <v>60</v>
      </c>
      <c r="O71" s="12" t="s">
        <v>60</v>
      </c>
      <c r="P71" s="12" t="n">
        <v>6</v>
      </c>
      <c r="Q71" s="16" t="n">
        <v>2</v>
      </c>
      <c r="R71" s="16" t="n">
        <v>3.5</v>
      </c>
      <c r="S71" s="13"/>
      <c r="T71" s="14" t="n">
        <v>46327</v>
      </c>
      <c r="U71" s="12" t="n">
        <v>6</v>
      </c>
      <c r="V71" s="12" t="n">
        <v>3</v>
      </c>
      <c r="W71" s="12" t="n">
        <v>2</v>
      </c>
      <c r="X71" s="12" t="n">
        <v>1</v>
      </c>
      <c r="Y71" s="12" t="n">
        <v>2</v>
      </c>
      <c r="Z71" s="12" t="n">
        <v>2</v>
      </c>
      <c r="AA71" s="12" t="n">
        <v>2</v>
      </c>
      <c r="AB71" s="12" t="n">
        <v>2</v>
      </c>
      <c r="AC71" s="12" t="n">
        <v>1</v>
      </c>
      <c r="AD71" s="12" t="n">
        <v>2</v>
      </c>
      <c r="AE71" s="12" t="n">
        <v>1</v>
      </c>
      <c r="AF71" s="12" t="n">
        <v>1</v>
      </c>
      <c r="AG71" s="12" t="n">
        <v>1</v>
      </c>
      <c r="AH71" s="12" t="n">
        <v>2</v>
      </c>
      <c r="AI71" s="12" t="n">
        <v>2</v>
      </c>
      <c r="AJ71" s="12" t="n">
        <v>2</v>
      </c>
      <c r="AK71" s="12" t="n">
        <v>2</v>
      </c>
      <c r="AL71" s="12" t="n">
        <v>1</v>
      </c>
      <c r="AM71" s="12"/>
      <c r="AN71" s="12" t="n">
        <v>0</v>
      </c>
      <c r="AO71" s="12"/>
      <c r="AP71" s="12"/>
      <c r="AQ71" s="12" t="n">
        <v>0</v>
      </c>
      <c r="AR71" s="12"/>
      <c r="AS71" s="12" t="n">
        <v>0</v>
      </c>
      <c r="AT71" s="12" t="s">
        <v>73</v>
      </c>
      <c r="AU71" s="12" t="s">
        <v>574</v>
      </c>
      <c r="AV71" s="12" t="s">
        <v>575</v>
      </c>
    </row>
    <row r="72" customFormat="false" ht="15" hidden="false" customHeight="false" outlineLevel="0" collapsed="false">
      <c r="A72" s="12" t="s">
        <v>576</v>
      </c>
      <c r="B72" s="13" t="s">
        <v>577</v>
      </c>
      <c r="C72" s="12" t="s">
        <v>50</v>
      </c>
      <c r="D72" s="14" t="n">
        <v>37690</v>
      </c>
      <c r="E72" s="12" t="n">
        <f aca="false">DATEDIF(D72,'Chú giải'!$B$3,"Y")</f>
        <v>23</v>
      </c>
      <c r="F72" s="13" t="s">
        <v>65</v>
      </c>
      <c r="G72" s="13" t="s">
        <v>99</v>
      </c>
      <c r="H72" s="15" t="s">
        <v>578</v>
      </c>
      <c r="I72" s="13" t="s">
        <v>579</v>
      </c>
      <c r="J72" s="13" t="s">
        <v>580</v>
      </c>
      <c r="K72" s="13" t="s">
        <v>148</v>
      </c>
      <c r="L72" s="13" t="s">
        <v>149</v>
      </c>
      <c r="M72" s="12" t="s">
        <v>72</v>
      </c>
      <c r="N72" s="12" t="s">
        <v>60</v>
      </c>
      <c r="O72" s="12" t="s">
        <v>60</v>
      </c>
      <c r="P72" s="12" t="n">
        <v>6</v>
      </c>
      <c r="Q72" s="16" t="n">
        <v>3</v>
      </c>
      <c r="R72" s="16" t="n">
        <v>3.5</v>
      </c>
      <c r="S72" s="13"/>
      <c r="T72" s="14" t="n">
        <v>46327</v>
      </c>
      <c r="U72" s="12" t="n">
        <v>6</v>
      </c>
      <c r="V72" s="12" t="n">
        <v>3</v>
      </c>
      <c r="W72" s="12" t="n">
        <v>2</v>
      </c>
      <c r="X72" s="12" t="n">
        <v>1</v>
      </c>
      <c r="Y72" s="12" t="n">
        <v>2</v>
      </c>
      <c r="Z72" s="12" t="n">
        <v>2</v>
      </c>
      <c r="AA72" s="12" t="n">
        <v>2</v>
      </c>
      <c r="AB72" s="12" t="n">
        <v>2</v>
      </c>
      <c r="AC72" s="12" t="n">
        <v>1</v>
      </c>
      <c r="AD72" s="12" t="n">
        <v>2</v>
      </c>
      <c r="AE72" s="12" t="n">
        <v>1</v>
      </c>
      <c r="AF72" s="12" t="n">
        <v>3</v>
      </c>
      <c r="AG72" s="12" t="n">
        <v>1</v>
      </c>
      <c r="AH72" s="12" t="n">
        <v>2</v>
      </c>
      <c r="AI72" s="12" t="n">
        <v>2</v>
      </c>
      <c r="AJ72" s="12" t="n">
        <v>2</v>
      </c>
      <c r="AK72" s="12" t="n">
        <v>2</v>
      </c>
      <c r="AL72" s="12" t="n">
        <v>1</v>
      </c>
      <c r="AM72" s="12"/>
      <c r="AN72" s="12" t="n">
        <v>0</v>
      </c>
      <c r="AO72" s="12"/>
      <c r="AP72" s="12"/>
      <c r="AQ72" s="12" t="n">
        <v>0</v>
      </c>
      <c r="AR72" s="12"/>
      <c r="AS72" s="12" t="n">
        <v>0</v>
      </c>
      <c r="AT72" s="12" t="s">
        <v>73</v>
      </c>
      <c r="AU72" s="12" t="s">
        <v>490</v>
      </c>
      <c r="AV72" s="12" t="s">
        <v>581</v>
      </c>
    </row>
    <row r="73" customFormat="false" ht="15" hidden="false" customHeight="false" outlineLevel="0" collapsed="false">
      <c r="A73" s="7" t="s">
        <v>582</v>
      </c>
      <c r="B73" s="8" t="s">
        <v>583</v>
      </c>
      <c r="C73" s="7" t="s">
        <v>50</v>
      </c>
      <c r="D73" s="9" t="n">
        <v>35449</v>
      </c>
      <c r="E73" s="7" t="n">
        <f aca="false">DATEDIF(D73,'Chú giải'!$B$3,"Y")</f>
        <v>29</v>
      </c>
      <c r="F73" s="8" t="s">
        <v>532</v>
      </c>
      <c r="G73" s="8" t="s">
        <v>533</v>
      </c>
      <c r="H73" s="10" t="s">
        <v>584</v>
      </c>
      <c r="I73" s="8" t="s">
        <v>585</v>
      </c>
      <c r="J73" s="8" t="s">
        <v>586</v>
      </c>
      <c r="K73" s="8" t="s">
        <v>587</v>
      </c>
      <c r="L73" s="8" t="s">
        <v>94</v>
      </c>
      <c r="M73" s="7" t="s">
        <v>72</v>
      </c>
      <c r="N73" s="7" t="s">
        <v>59</v>
      </c>
      <c r="O73" s="7" t="s">
        <v>60</v>
      </c>
      <c r="P73" s="7" t="n">
        <v>12</v>
      </c>
      <c r="Q73" s="11" t="n">
        <v>3</v>
      </c>
      <c r="R73" s="11" t="n">
        <v>4</v>
      </c>
      <c r="S73" s="8" t="s">
        <v>57</v>
      </c>
      <c r="T73" s="9" t="n">
        <v>46339</v>
      </c>
      <c r="U73" s="7" t="n">
        <v>3</v>
      </c>
      <c r="V73" s="7" t="n">
        <v>3</v>
      </c>
      <c r="W73" s="7" t="n">
        <v>2</v>
      </c>
      <c r="X73" s="7" t="n">
        <v>1</v>
      </c>
      <c r="Y73" s="7" t="n">
        <v>1</v>
      </c>
      <c r="Z73" s="7" t="n">
        <v>3</v>
      </c>
      <c r="AA73" s="7" t="n">
        <v>2</v>
      </c>
      <c r="AB73" s="7" t="n">
        <v>1</v>
      </c>
      <c r="AC73" s="7" t="n">
        <v>2</v>
      </c>
      <c r="AD73" s="7" t="n">
        <v>2</v>
      </c>
      <c r="AE73" s="7" t="n">
        <v>1</v>
      </c>
      <c r="AF73" s="7" t="n">
        <v>1</v>
      </c>
      <c r="AG73" s="7" t="n">
        <v>1</v>
      </c>
      <c r="AH73" s="7" t="n">
        <v>3</v>
      </c>
      <c r="AI73" s="7" t="n">
        <v>2</v>
      </c>
      <c r="AJ73" s="7" t="n">
        <v>4</v>
      </c>
      <c r="AK73" s="7" t="n">
        <v>3</v>
      </c>
      <c r="AL73" s="7" t="n">
        <v>3</v>
      </c>
      <c r="AM73" s="7" t="n">
        <v>86</v>
      </c>
      <c r="AN73" s="7" t="n">
        <v>10</v>
      </c>
      <c r="AO73" s="7" t="n">
        <v>66</v>
      </c>
      <c r="AP73" s="7" t="n">
        <v>4.3</v>
      </c>
      <c r="AQ73" s="7" t="n">
        <v>4</v>
      </c>
      <c r="AR73" s="7" t="n">
        <v>4</v>
      </c>
      <c r="AS73" s="7" t="n">
        <v>0</v>
      </c>
      <c r="AT73" s="7" t="s">
        <v>62</v>
      </c>
      <c r="AU73" s="7"/>
      <c r="AV73" s="7"/>
    </row>
    <row r="74" customFormat="false" ht="15" hidden="false" customHeight="false" outlineLevel="0" collapsed="false">
      <c r="A74" s="12" t="s">
        <v>588</v>
      </c>
      <c r="B74" s="13" t="s">
        <v>589</v>
      </c>
      <c r="C74" s="12" t="s">
        <v>78</v>
      </c>
      <c r="D74" s="14" t="n">
        <v>37675</v>
      </c>
      <c r="E74" s="12" t="n">
        <f aca="false">DATEDIF(D74,'Chú giải'!$B$3,"Y")</f>
        <v>23</v>
      </c>
      <c r="F74" s="13" t="s">
        <v>65</v>
      </c>
      <c r="G74" s="13" t="s">
        <v>99</v>
      </c>
      <c r="H74" s="15" t="s">
        <v>590</v>
      </c>
      <c r="I74" s="13" t="s">
        <v>591</v>
      </c>
      <c r="J74" s="13" t="s">
        <v>592</v>
      </c>
      <c r="K74" s="13" t="s">
        <v>593</v>
      </c>
      <c r="L74" s="13" t="s">
        <v>104</v>
      </c>
      <c r="M74" s="12" t="s">
        <v>72</v>
      </c>
      <c r="N74" s="12" t="s">
        <v>60</v>
      </c>
      <c r="O74" s="12" t="s">
        <v>60</v>
      </c>
      <c r="P74" s="12" t="n">
        <v>6</v>
      </c>
      <c r="Q74" s="16" t="n">
        <v>3</v>
      </c>
      <c r="R74" s="16" t="n">
        <v>3.5</v>
      </c>
      <c r="S74" s="13"/>
      <c r="T74" s="14" t="n">
        <v>46327</v>
      </c>
      <c r="U74" s="12" t="n">
        <v>6</v>
      </c>
      <c r="V74" s="12" t="n">
        <v>3</v>
      </c>
      <c r="W74" s="12" t="n">
        <v>1</v>
      </c>
      <c r="X74" s="12" t="n">
        <v>1</v>
      </c>
      <c r="Y74" s="12" t="n">
        <v>2</v>
      </c>
      <c r="Z74" s="12" t="n">
        <v>2</v>
      </c>
      <c r="AA74" s="12" t="n">
        <v>2</v>
      </c>
      <c r="AB74" s="12" t="n">
        <v>2</v>
      </c>
      <c r="AC74" s="12" t="n">
        <v>1</v>
      </c>
      <c r="AD74" s="12" t="n">
        <v>2</v>
      </c>
      <c r="AE74" s="12" t="n">
        <v>1</v>
      </c>
      <c r="AF74" s="12" t="n">
        <v>1</v>
      </c>
      <c r="AG74" s="12" t="n">
        <v>1</v>
      </c>
      <c r="AH74" s="12" t="n">
        <v>2</v>
      </c>
      <c r="AI74" s="12" t="n">
        <v>2</v>
      </c>
      <c r="AJ74" s="12" t="n">
        <v>2</v>
      </c>
      <c r="AK74" s="12" t="n">
        <v>2</v>
      </c>
      <c r="AL74" s="12" t="n">
        <v>1</v>
      </c>
      <c r="AM74" s="12"/>
      <c r="AN74" s="12" t="n">
        <v>0</v>
      </c>
      <c r="AO74" s="12"/>
      <c r="AP74" s="12"/>
      <c r="AQ74" s="12" t="n">
        <v>0</v>
      </c>
      <c r="AR74" s="12"/>
      <c r="AS74" s="12" t="n">
        <v>0</v>
      </c>
      <c r="AT74" s="12" t="s">
        <v>73</v>
      </c>
      <c r="AU74" s="12" t="s">
        <v>426</v>
      </c>
      <c r="AV74" s="12" t="s">
        <v>594</v>
      </c>
    </row>
    <row r="75" customFormat="false" ht="15" hidden="false" customHeight="false" outlineLevel="0" collapsed="false">
      <c r="A75" s="7" t="s">
        <v>595</v>
      </c>
      <c r="B75" s="8" t="s">
        <v>596</v>
      </c>
      <c r="C75" s="7" t="s">
        <v>78</v>
      </c>
      <c r="D75" s="9" t="n">
        <v>38860</v>
      </c>
      <c r="E75" s="7" t="n">
        <f aca="false">DATEDIF(D75,'Chú giải'!$B$3,"Y")</f>
        <v>20</v>
      </c>
      <c r="F75" s="8" t="s">
        <v>230</v>
      </c>
      <c r="G75" s="8" t="s">
        <v>118</v>
      </c>
      <c r="H75" s="10" t="s">
        <v>597</v>
      </c>
      <c r="I75" s="8" t="s">
        <v>598</v>
      </c>
      <c r="J75" s="8" t="s">
        <v>599</v>
      </c>
      <c r="K75" s="8" t="s">
        <v>600</v>
      </c>
      <c r="L75" s="8" t="s">
        <v>94</v>
      </c>
      <c r="M75" s="7" t="s">
        <v>58</v>
      </c>
      <c r="N75" s="7" t="s">
        <v>59</v>
      </c>
      <c r="O75" s="7" t="s">
        <v>60</v>
      </c>
      <c r="P75" s="7" t="n">
        <v>10</v>
      </c>
      <c r="Q75" s="11" t="n">
        <v>1.5</v>
      </c>
      <c r="R75" s="11" t="n">
        <v>1.5</v>
      </c>
      <c r="S75" s="8" t="s">
        <v>94</v>
      </c>
      <c r="T75" s="9" t="n">
        <v>46340</v>
      </c>
      <c r="U75" s="7" t="n">
        <v>6</v>
      </c>
      <c r="V75" s="7" t="n">
        <v>6</v>
      </c>
      <c r="W75" s="7" t="n">
        <v>2</v>
      </c>
      <c r="X75" s="7" t="n">
        <v>1</v>
      </c>
      <c r="Y75" s="7" t="n">
        <v>2</v>
      </c>
      <c r="Z75" s="7" t="n">
        <v>2</v>
      </c>
      <c r="AA75" s="7" t="n">
        <v>2</v>
      </c>
      <c r="AB75" s="7" t="n">
        <v>3</v>
      </c>
      <c r="AC75" s="7" t="n">
        <v>2</v>
      </c>
      <c r="AD75" s="7" t="n">
        <v>2</v>
      </c>
      <c r="AE75" s="7" t="n">
        <v>1</v>
      </c>
      <c r="AF75" s="7" t="n">
        <v>1</v>
      </c>
      <c r="AG75" s="7" t="n">
        <v>1</v>
      </c>
      <c r="AH75" s="7" t="n">
        <v>2</v>
      </c>
      <c r="AI75" s="7" t="n">
        <v>3</v>
      </c>
      <c r="AJ75" s="7" t="n">
        <v>2</v>
      </c>
      <c r="AK75" s="7" t="n">
        <v>4</v>
      </c>
      <c r="AL75" s="7" t="n">
        <v>4</v>
      </c>
      <c r="AM75" s="7"/>
      <c r="AN75" s="7" t="n">
        <v>0</v>
      </c>
      <c r="AO75" s="7"/>
      <c r="AP75" s="7"/>
      <c r="AQ75" s="7" t="n">
        <v>0</v>
      </c>
      <c r="AR75" s="7"/>
      <c r="AS75" s="7" t="n">
        <v>0</v>
      </c>
      <c r="AT75" s="7" t="s">
        <v>62</v>
      </c>
      <c r="AU75" s="7"/>
      <c r="AV75" s="7"/>
    </row>
    <row r="76" customFormat="false" ht="15" hidden="false" customHeight="false" outlineLevel="0" collapsed="false">
      <c r="A76" s="12" t="s">
        <v>601</v>
      </c>
      <c r="B76" s="13" t="s">
        <v>602</v>
      </c>
      <c r="C76" s="12" t="s">
        <v>50</v>
      </c>
      <c r="D76" s="14" t="n">
        <v>35916</v>
      </c>
      <c r="E76" s="12" t="n">
        <f aca="false">DATEDIF(D76,'Chú giải'!$B$3,"Y")</f>
        <v>28</v>
      </c>
      <c r="F76" s="13" t="s">
        <v>65</v>
      </c>
      <c r="G76" s="13" t="s">
        <v>66</v>
      </c>
      <c r="H76" s="15" t="s">
        <v>603</v>
      </c>
      <c r="I76" s="13" t="s">
        <v>604</v>
      </c>
      <c r="J76" s="13" t="s">
        <v>605</v>
      </c>
      <c r="K76" s="13" t="s">
        <v>407</v>
      </c>
      <c r="L76" s="13" t="s">
        <v>271</v>
      </c>
      <c r="M76" s="12" t="s">
        <v>72</v>
      </c>
      <c r="N76" s="12" t="s">
        <v>60</v>
      </c>
      <c r="O76" s="12" t="s">
        <v>60</v>
      </c>
      <c r="P76" s="12" t="n">
        <v>6</v>
      </c>
      <c r="Q76" s="16" t="n">
        <v>3</v>
      </c>
      <c r="R76" s="16" t="n">
        <v>3.5</v>
      </c>
      <c r="S76" s="13"/>
      <c r="T76" s="14" t="n">
        <v>46327</v>
      </c>
      <c r="U76" s="12" t="n">
        <v>6</v>
      </c>
      <c r="V76" s="12" t="n">
        <v>3</v>
      </c>
      <c r="W76" s="12" t="n">
        <v>2</v>
      </c>
      <c r="X76" s="12" t="n">
        <v>1</v>
      </c>
      <c r="Y76" s="12" t="n">
        <v>2</v>
      </c>
      <c r="Z76" s="12" t="n">
        <v>2</v>
      </c>
      <c r="AA76" s="12" t="n">
        <v>2</v>
      </c>
      <c r="AB76" s="12" t="n">
        <v>2</v>
      </c>
      <c r="AC76" s="12" t="n">
        <v>1</v>
      </c>
      <c r="AD76" s="12" t="n">
        <v>2</v>
      </c>
      <c r="AE76" s="12" t="n">
        <v>1</v>
      </c>
      <c r="AF76" s="12" t="n">
        <v>1</v>
      </c>
      <c r="AG76" s="12" t="n">
        <v>1</v>
      </c>
      <c r="AH76" s="12" t="n">
        <v>2</v>
      </c>
      <c r="AI76" s="12" t="n">
        <v>2</v>
      </c>
      <c r="AJ76" s="12" t="n">
        <v>2</v>
      </c>
      <c r="AK76" s="12" t="n">
        <v>2</v>
      </c>
      <c r="AL76" s="12" t="n">
        <v>1</v>
      </c>
      <c r="AM76" s="12"/>
      <c r="AN76" s="12" t="n">
        <v>0</v>
      </c>
      <c r="AO76" s="12"/>
      <c r="AP76" s="12"/>
      <c r="AQ76" s="12" t="n">
        <v>0</v>
      </c>
      <c r="AR76" s="12"/>
      <c r="AS76" s="12" t="n">
        <v>0</v>
      </c>
      <c r="AT76" s="12" t="s">
        <v>73</v>
      </c>
      <c r="AU76" s="12" t="s">
        <v>439</v>
      </c>
      <c r="AV76" s="12" t="s">
        <v>606</v>
      </c>
    </row>
    <row r="77" customFormat="false" ht="15" hidden="false" customHeight="false" outlineLevel="0" collapsed="false">
      <c r="A77" s="12" t="s">
        <v>607</v>
      </c>
      <c r="B77" s="13" t="s">
        <v>608</v>
      </c>
      <c r="C77" s="12" t="s">
        <v>50</v>
      </c>
      <c r="D77" s="14" t="n">
        <v>36922</v>
      </c>
      <c r="E77" s="12" t="n">
        <f aca="false">DATEDIF(D77,'Chú giải'!$B$3,"Y")</f>
        <v>25</v>
      </c>
      <c r="F77" s="13" t="s">
        <v>65</v>
      </c>
      <c r="G77" s="13" t="s">
        <v>66</v>
      </c>
      <c r="H77" s="15" t="s">
        <v>609</v>
      </c>
      <c r="I77" s="13" t="s">
        <v>610</v>
      </c>
      <c r="J77" s="13" t="s">
        <v>611</v>
      </c>
      <c r="K77" s="13" t="s">
        <v>83</v>
      </c>
      <c r="L77" s="13" t="s">
        <v>57</v>
      </c>
      <c r="M77" s="12" t="s">
        <v>58</v>
      </c>
      <c r="N77" s="12" t="s">
        <v>60</v>
      </c>
      <c r="O77" s="12" t="s">
        <v>59</v>
      </c>
      <c r="P77" s="12" t="n">
        <v>6</v>
      </c>
      <c r="Q77" s="16" t="n">
        <v>3</v>
      </c>
      <c r="R77" s="16" t="n">
        <v>3.5</v>
      </c>
      <c r="S77" s="13"/>
      <c r="T77" s="14" t="n">
        <v>46327</v>
      </c>
      <c r="U77" s="12" t="n">
        <v>6</v>
      </c>
      <c r="V77" s="12" t="n">
        <v>3</v>
      </c>
      <c r="W77" s="12" t="n">
        <v>2</v>
      </c>
      <c r="X77" s="12" t="n">
        <v>1</v>
      </c>
      <c r="Y77" s="12" t="n">
        <v>2</v>
      </c>
      <c r="Z77" s="12" t="n">
        <v>2</v>
      </c>
      <c r="AA77" s="12" t="n">
        <v>2</v>
      </c>
      <c r="AB77" s="12" t="n">
        <v>2</v>
      </c>
      <c r="AC77" s="12" t="n">
        <v>1</v>
      </c>
      <c r="AD77" s="12" t="n">
        <v>2</v>
      </c>
      <c r="AE77" s="12" t="n">
        <v>1</v>
      </c>
      <c r="AF77" s="12" t="n">
        <v>1</v>
      </c>
      <c r="AG77" s="12" t="n">
        <v>1</v>
      </c>
      <c r="AH77" s="12" t="n">
        <v>2</v>
      </c>
      <c r="AI77" s="12" t="n">
        <v>2</v>
      </c>
      <c r="AJ77" s="12" t="n">
        <v>2</v>
      </c>
      <c r="AK77" s="12" t="n">
        <v>2</v>
      </c>
      <c r="AL77" s="12" t="n">
        <v>1</v>
      </c>
      <c r="AM77" s="12"/>
      <c r="AN77" s="12" t="n">
        <v>0</v>
      </c>
      <c r="AO77" s="12"/>
      <c r="AP77" s="12"/>
      <c r="AQ77" s="12" t="n">
        <v>0</v>
      </c>
      <c r="AR77" s="12"/>
      <c r="AS77" s="12" t="n">
        <v>0</v>
      </c>
      <c r="AT77" s="12" t="s">
        <v>73</v>
      </c>
      <c r="AU77" s="12" t="s">
        <v>476</v>
      </c>
      <c r="AV77" s="12" t="s">
        <v>612</v>
      </c>
    </row>
    <row r="78" customFormat="false" ht="15" hidden="false" customHeight="false" outlineLevel="0" collapsed="false">
      <c r="A78" s="7" t="s">
        <v>613</v>
      </c>
      <c r="B78" s="8" t="s">
        <v>614</v>
      </c>
      <c r="C78" s="7" t="s">
        <v>50</v>
      </c>
      <c r="D78" s="9" t="n">
        <v>37300</v>
      </c>
      <c r="E78" s="7" t="n">
        <f aca="false">DATEDIF(D78,'Chú giải'!$B$3,"Y")</f>
        <v>24</v>
      </c>
      <c r="F78" s="8" t="s">
        <v>320</v>
      </c>
      <c r="G78" s="8" t="s">
        <v>248</v>
      </c>
      <c r="H78" s="10" t="s">
        <v>615</v>
      </c>
      <c r="I78" s="8" t="s">
        <v>616</v>
      </c>
      <c r="J78" s="8" t="s">
        <v>617</v>
      </c>
      <c r="K78" s="8" t="s">
        <v>252</v>
      </c>
      <c r="L78" s="8" t="s">
        <v>113</v>
      </c>
      <c r="M78" s="7" t="s">
        <v>72</v>
      </c>
      <c r="N78" s="7" t="s">
        <v>60</v>
      </c>
      <c r="O78" s="7" t="s">
        <v>60</v>
      </c>
      <c r="P78" s="7" t="n">
        <v>8</v>
      </c>
      <c r="Q78" s="11" t="n">
        <v>5</v>
      </c>
      <c r="R78" s="11" t="n">
        <v>5</v>
      </c>
      <c r="S78" s="8" t="s">
        <v>113</v>
      </c>
      <c r="T78" s="9" t="n">
        <v>46335</v>
      </c>
      <c r="U78" s="7" t="n">
        <v>12</v>
      </c>
      <c r="V78" s="7" t="n">
        <v>3</v>
      </c>
      <c r="W78" s="7" t="n">
        <v>2</v>
      </c>
      <c r="X78" s="7" t="n">
        <v>1</v>
      </c>
      <c r="Y78" s="7" t="n">
        <v>4</v>
      </c>
      <c r="Z78" s="7" t="n">
        <v>2</v>
      </c>
      <c r="AA78" s="7" t="n">
        <v>1</v>
      </c>
      <c r="AB78" s="7" t="n">
        <v>2</v>
      </c>
      <c r="AC78" s="7" t="n">
        <v>4</v>
      </c>
      <c r="AD78" s="7" t="n">
        <v>2</v>
      </c>
      <c r="AE78" s="7" t="n">
        <v>1</v>
      </c>
      <c r="AF78" s="7" t="n">
        <v>1</v>
      </c>
      <c r="AG78" s="7" t="n">
        <v>1</v>
      </c>
      <c r="AH78" s="7" t="n">
        <v>2</v>
      </c>
      <c r="AI78" s="7" t="n">
        <v>2</v>
      </c>
      <c r="AJ78" s="7" t="n">
        <v>4</v>
      </c>
      <c r="AK78" s="7" t="n">
        <v>2</v>
      </c>
      <c r="AL78" s="7" t="n">
        <v>2</v>
      </c>
      <c r="AM78" s="7" t="n">
        <v>97</v>
      </c>
      <c r="AN78" s="7" t="n">
        <v>5</v>
      </c>
      <c r="AO78" s="7" t="n">
        <v>78</v>
      </c>
      <c r="AP78" s="7" t="n">
        <v>4.4</v>
      </c>
      <c r="AQ78" s="7" t="n">
        <v>2</v>
      </c>
      <c r="AR78" s="7" t="n">
        <v>3.8</v>
      </c>
      <c r="AS78" s="7" t="n">
        <v>0</v>
      </c>
      <c r="AT78" s="7" t="s">
        <v>62</v>
      </c>
      <c r="AU78" s="7"/>
      <c r="AV78" s="7"/>
    </row>
    <row r="79" customFormat="false" ht="15" hidden="false" customHeight="false" outlineLevel="0" collapsed="false">
      <c r="A79" s="7" t="s">
        <v>618</v>
      </c>
      <c r="B79" s="8" t="s">
        <v>619</v>
      </c>
      <c r="C79" s="7" t="s">
        <v>78</v>
      </c>
      <c r="D79" s="9" t="n">
        <v>38529</v>
      </c>
      <c r="E79" s="7" t="n">
        <f aca="false">DATEDIF(D79,'Chú giải'!$B$3,"Y")</f>
        <v>21</v>
      </c>
      <c r="F79" s="8" t="s">
        <v>79</v>
      </c>
      <c r="G79" s="8" t="s">
        <v>223</v>
      </c>
      <c r="H79" s="10" t="s">
        <v>620</v>
      </c>
      <c r="I79" s="8" t="s">
        <v>621</v>
      </c>
      <c r="J79" s="8" t="s">
        <v>622</v>
      </c>
      <c r="K79" s="8" t="s">
        <v>192</v>
      </c>
      <c r="L79" s="8" t="s">
        <v>104</v>
      </c>
      <c r="M79" s="7" t="s">
        <v>211</v>
      </c>
      <c r="N79" s="7" t="s">
        <v>60</v>
      </c>
      <c r="O79" s="7" t="s">
        <v>60</v>
      </c>
      <c r="P79" s="7" t="n">
        <v>6</v>
      </c>
      <c r="Q79" s="11" t="n">
        <v>2</v>
      </c>
      <c r="R79" s="11" t="n">
        <v>3</v>
      </c>
      <c r="S79" s="8" t="s">
        <v>623</v>
      </c>
      <c r="T79" s="9" t="n">
        <v>46331</v>
      </c>
      <c r="U79" s="7" t="n">
        <v>9</v>
      </c>
      <c r="V79" s="7" t="n">
        <v>3</v>
      </c>
      <c r="W79" s="7" t="n">
        <v>1</v>
      </c>
      <c r="X79" s="7" t="n">
        <v>1</v>
      </c>
      <c r="Y79" s="7" t="n">
        <v>2</v>
      </c>
      <c r="Z79" s="7" t="n">
        <v>1</v>
      </c>
      <c r="AA79" s="7" t="n">
        <v>2</v>
      </c>
      <c r="AB79" s="7" t="n">
        <v>3</v>
      </c>
      <c r="AC79" s="7" t="n">
        <v>4</v>
      </c>
      <c r="AD79" s="7" t="n">
        <v>2</v>
      </c>
      <c r="AE79" s="7" t="n">
        <v>1</v>
      </c>
      <c r="AF79" s="7" t="n">
        <v>2</v>
      </c>
      <c r="AG79" s="7" t="n">
        <v>1</v>
      </c>
      <c r="AH79" s="7" t="n">
        <v>3</v>
      </c>
      <c r="AI79" s="7" t="n">
        <v>3</v>
      </c>
      <c r="AJ79" s="7" t="n">
        <v>3</v>
      </c>
      <c r="AK79" s="7" t="n">
        <v>2</v>
      </c>
      <c r="AL79" s="7" t="n">
        <v>1</v>
      </c>
      <c r="AM79" s="7"/>
      <c r="AN79" s="7" t="n">
        <v>0</v>
      </c>
      <c r="AO79" s="7"/>
      <c r="AP79" s="7"/>
      <c r="AQ79" s="7" t="n">
        <v>0</v>
      </c>
      <c r="AR79" s="7"/>
      <c r="AS79" s="7" t="n">
        <v>0</v>
      </c>
      <c r="AT79" s="7" t="s">
        <v>62</v>
      </c>
      <c r="AU79" s="7"/>
      <c r="AV79" s="7"/>
    </row>
    <row r="80" customFormat="false" ht="15" hidden="false" customHeight="false" outlineLevel="0" collapsed="false">
      <c r="A80" s="12" t="s">
        <v>624</v>
      </c>
      <c r="B80" s="13" t="s">
        <v>625</v>
      </c>
      <c r="C80" s="12" t="s">
        <v>50</v>
      </c>
      <c r="D80" s="14" t="n">
        <v>36908</v>
      </c>
      <c r="E80" s="12" t="n">
        <f aca="false">DATEDIF(D80,'Chú giải'!$B$3,"Y")</f>
        <v>25</v>
      </c>
      <c r="F80" s="13" t="s">
        <v>65</v>
      </c>
      <c r="G80" s="13" t="s">
        <v>66</v>
      </c>
      <c r="H80" s="15" t="s">
        <v>626</v>
      </c>
      <c r="I80" s="13" t="s">
        <v>627</v>
      </c>
      <c r="J80" s="13" t="s">
        <v>628</v>
      </c>
      <c r="K80" s="13" t="s">
        <v>93</v>
      </c>
      <c r="L80" s="13" t="s">
        <v>94</v>
      </c>
      <c r="M80" s="12" t="s">
        <v>84</v>
      </c>
      <c r="N80" s="12" t="s">
        <v>59</v>
      </c>
      <c r="O80" s="12" t="s">
        <v>60</v>
      </c>
      <c r="P80" s="12" t="n">
        <v>6</v>
      </c>
      <c r="Q80" s="16" t="n">
        <v>3</v>
      </c>
      <c r="R80" s="16" t="n">
        <v>3.5</v>
      </c>
      <c r="S80" s="13"/>
      <c r="T80" s="14" t="n">
        <v>46327</v>
      </c>
      <c r="U80" s="12" t="n">
        <v>6</v>
      </c>
      <c r="V80" s="12" t="n">
        <v>3</v>
      </c>
      <c r="W80" s="12" t="n">
        <v>2</v>
      </c>
      <c r="X80" s="12" t="n">
        <v>1</v>
      </c>
      <c r="Y80" s="12" t="n">
        <v>2</v>
      </c>
      <c r="Z80" s="12" t="n">
        <v>2</v>
      </c>
      <c r="AA80" s="12" t="n">
        <v>2</v>
      </c>
      <c r="AB80" s="12" t="n">
        <v>2</v>
      </c>
      <c r="AC80" s="12" t="n">
        <v>1</v>
      </c>
      <c r="AD80" s="12" t="n">
        <v>2</v>
      </c>
      <c r="AE80" s="12" t="n">
        <v>1</v>
      </c>
      <c r="AF80" s="12" t="n">
        <v>1</v>
      </c>
      <c r="AG80" s="12" t="n">
        <v>1</v>
      </c>
      <c r="AH80" s="12" t="n">
        <v>2</v>
      </c>
      <c r="AI80" s="12" t="n">
        <v>2</v>
      </c>
      <c r="AJ80" s="12" t="n">
        <v>2</v>
      </c>
      <c r="AK80" s="12" t="n">
        <v>2</v>
      </c>
      <c r="AL80" s="12" t="n">
        <v>1</v>
      </c>
      <c r="AM80" s="12" t="n">
        <v>95</v>
      </c>
      <c r="AN80" s="12" t="n">
        <v>6</v>
      </c>
      <c r="AO80" s="12" t="n">
        <v>90</v>
      </c>
      <c r="AP80" s="12" t="n">
        <v>4.5</v>
      </c>
      <c r="AQ80" s="12" t="n">
        <v>3</v>
      </c>
      <c r="AR80" s="12" t="n">
        <v>4.8</v>
      </c>
      <c r="AS80" s="12" t="n">
        <v>0</v>
      </c>
      <c r="AT80" s="12" t="s">
        <v>73</v>
      </c>
      <c r="AU80" s="12" t="s">
        <v>155</v>
      </c>
      <c r="AV80" s="12" t="s">
        <v>629</v>
      </c>
    </row>
    <row r="81" customFormat="false" ht="15" hidden="false" customHeight="false" outlineLevel="0" collapsed="false">
      <c r="A81" s="7" t="s">
        <v>630</v>
      </c>
      <c r="B81" s="8" t="s">
        <v>631</v>
      </c>
      <c r="C81" s="7" t="s">
        <v>78</v>
      </c>
      <c r="D81" s="9" t="n">
        <v>38531</v>
      </c>
      <c r="E81" s="7" t="n">
        <f aca="false">DATEDIF(D81,'Chú giải'!$B$3,"Y")</f>
        <v>21</v>
      </c>
      <c r="F81" s="8" t="s">
        <v>79</v>
      </c>
      <c r="G81" s="8" t="s">
        <v>632</v>
      </c>
      <c r="H81" s="10" t="s">
        <v>633</v>
      </c>
      <c r="I81" s="8" t="s">
        <v>634</v>
      </c>
      <c r="J81" s="8" t="s">
        <v>635</v>
      </c>
      <c r="K81" s="8" t="s">
        <v>600</v>
      </c>
      <c r="L81" s="8" t="s">
        <v>94</v>
      </c>
      <c r="M81" s="7" t="s">
        <v>58</v>
      </c>
      <c r="N81" s="7" t="s">
        <v>59</v>
      </c>
      <c r="O81" s="7" t="s">
        <v>60</v>
      </c>
      <c r="P81" s="7" t="n">
        <v>5</v>
      </c>
      <c r="Q81" s="11" t="n">
        <v>3.5</v>
      </c>
      <c r="R81" s="11" t="n">
        <v>4</v>
      </c>
      <c r="S81" s="8" t="s">
        <v>636</v>
      </c>
      <c r="T81" s="9" t="n">
        <v>46327</v>
      </c>
      <c r="U81" s="7" t="n">
        <v>9</v>
      </c>
      <c r="V81" s="7" t="n">
        <v>3</v>
      </c>
      <c r="W81" s="7"/>
      <c r="X81" s="7" t="n">
        <v>1</v>
      </c>
      <c r="Y81" s="7" t="n">
        <v>2</v>
      </c>
      <c r="Z81" s="7" t="n">
        <v>3</v>
      </c>
      <c r="AA81" s="7" t="n">
        <v>3</v>
      </c>
      <c r="AB81" s="7" t="n">
        <v>2</v>
      </c>
      <c r="AC81" s="7" t="n">
        <v>2</v>
      </c>
      <c r="AD81" s="7" t="n">
        <v>3</v>
      </c>
      <c r="AE81" s="7" t="n">
        <v>2</v>
      </c>
      <c r="AF81" s="7"/>
      <c r="AG81" s="7" t="n">
        <v>1</v>
      </c>
      <c r="AH81" s="7" t="n">
        <v>2</v>
      </c>
      <c r="AI81" s="7" t="n">
        <v>1</v>
      </c>
      <c r="AJ81" s="7" t="n">
        <v>3</v>
      </c>
      <c r="AK81" s="7"/>
      <c r="AL81" s="7" t="n">
        <v>1</v>
      </c>
      <c r="AM81" s="7" t="n">
        <v>94</v>
      </c>
      <c r="AN81" s="7" t="n">
        <v>5</v>
      </c>
      <c r="AO81" s="7" t="n">
        <v>51</v>
      </c>
      <c r="AP81" s="7" t="n">
        <v>3.6</v>
      </c>
      <c r="AQ81" s="7" t="n">
        <v>4</v>
      </c>
      <c r="AR81" s="7" t="n">
        <v>5</v>
      </c>
      <c r="AS81" s="7" t="n">
        <v>0</v>
      </c>
      <c r="AT81" s="7" t="s">
        <v>86</v>
      </c>
      <c r="AU81" s="7"/>
      <c r="AV81" s="7" t="s">
        <v>637</v>
      </c>
    </row>
    <row r="82" customFormat="false" ht="15" hidden="false" customHeight="false" outlineLevel="0" collapsed="false">
      <c r="A82" s="7" t="s">
        <v>638</v>
      </c>
      <c r="B82" s="8" t="s">
        <v>639</v>
      </c>
      <c r="C82" s="7" t="s">
        <v>50</v>
      </c>
      <c r="D82" s="9" t="n">
        <v>39628</v>
      </c>
      <c r="E82" s="7" t="n">
        <f aca="false">DATEDIF(D82,'Chú giải'!$B$3,"Y")</f>
        <v>18</v>
      </c>
      <c r="F82" s="8" t="s">
        <v>51</v>
      </c>
      <c r="G82" s="8" t="s">
        <v>52</v>
      </c>
      <c r="H82" s="10" t="s">
        <v>640</v>
      </c>
      <c r="I82" s="8" t="s">
        <v>641</v>
      </c>
      <c r="J82" s="8" t="s">
        <v>642</v>
      </c>
      <c r="K82" s="8" t="s">
        <v>643</v>
      </c>
      <c r="L82" s="8" t="s">
        <v>475</v>
      </c>
      <c r="M82" s="7" t="s">
        <v>58</v>
      </c>
      <c r="N82" s="7" t="s">
        <v>59</v>
      </c>
      <c r="O82" s="7" t="s">
        <v>60</v>
      </c>
      <c r="P82" s="7" t="n">
        <v>6</v>
      </c>
      <c r="Q82" s="11" t="n">
        <v>2.5</v>
      </c>
      <c r="R82" s="11" t="n">
        <v>2.5</v>
      </c>
      <c r="S82" s="8" t="s">
        <v>644</v>
      </c>
      <c r="T82" s="9" t="n">
        <v>46338</v>
      </c>
      <c r="U82" s="7" t="n">
        <v>6</v>
      </c>
      <c r="V82" s="7" t="n">
        <v>6</v>
      </c>
      <c r="W82" s="7" t="n">
        <v>3</v>
      </c>
      <c r="X82" s="7" t="n">
        <v>1</v>
      </c>
      <c r="Y82" s="7" t="n">
        <v>1</v>
      </c>
      <c r="Z82" s="7" t="n">
        <v>2</v>
      </c>
      <c r="AA82" s="7" t="n">
        <v>1</v>
      </c>
      <c r="AB82" s="7" t="n">
        <v>1</v>
      </c>
      <c r="AC82" s="7" t="n">
        <v>4</v>
      </c>
      <c r="AD82" s="7" t="n">
        <v>2</v>
      </c>
      <c r="AE82" s="7" t="n">
        <v>1</v>
      </c>
      <c r="AF82" s="7" t="n">
        <v>1</v>
      </c>
      <c r="AG82" s="7" t="n">
        <v>1</v>
      </c>
      <c r="AH82" s="7" t="n">
        <v>3</v>
      </c>
      <c r="AI82" s="7" t="n">
        <v>1</v>
      </c>
      <c r="AJ82" s="7" t="n">
        <v>1</v>
      </c>
      <c r="AK82" s="7" t="n">
        <v>2</v>
      </c>
      <c r="AL82" s="7" t="n">
        <v>2</v>
      </c>
      <c r="AM82" s="7" t="n">
        <v>91</v>
      </c>
      <c r="AN82" s="7" t="n">
        <v>11</v>
      </c>
      <c r="AO82" s="7" t="n">
        <v>87</v>
      </c>
      <c r="AP82" s="7" t="n">
        <v>3.9</v>
      </c>
      <c r="AQ82" s="7" t="n">
        <v>1</v>
      </c>
      <c r="AR82" s="7" t="n">
        <v>3.9</v>
      </c>
      <c r="AS82" s="7" t="n">
        <v>0</v>
      </c>
      <c r="AT82" s="7" t="s">
        <v>62</v>
      </c>
      <c r="AU82" s="7"/>
      <c r="AV82" s="7"/>
    </row>
    <row r="83" customFormat="false" ht="15" hidden="false" customHeight="false" outlineLevel="0" collapsed="false">
      <c r="A83" s="12" t="s">
        <v>645</v>
      </c>
      <c r="B83" s="13" t="s">
        <v>646</v>
      </c>
      <c r="C83" s="12" t="s">
        <v>78</v>
      </c>
      <c r="D83" s="14" t="n">
        <v>36938</v>
      </c>
      <c r="E83" s="12" t="n">
        <f aca="false">DATEDIF(D83,'Chú giải'!$B$3,"Y")</f>
        <v>25</v>
      </c>
      <c r="F83" s="13" t="s">
        <v>65</v>
      </c>
      <c r="G83" s="13" t="s">
        <v>66</v>
      </c>
      <c r="H83" s="15" t="s">
        <v>647</v>
      </c>
      <c r="I83" s="13" t="s">
        <v>648</v>
      </c>
      <c r="J83" s="13" t="s">
        <v>649</v>
      </c>
      <c r="K83" s="13" t="s">
        <v>474</v>
      </c>
      <c r="L83" s="13" t="s">
        <v>475</v>
      </c>
      <c r="M83" s="12" t="s">
        <v>72</v>
      </c>
      <c r="N83" s="12" t="s">
        <v>60</v>
      </c>
      <c r="O83" s="12" t="s">
        <v>60</v>
      </c>
      <c r="P83" s="12" t="n">
        <v>6</v>
      </c>
      <c r="Q83" s="16" t="n">
        <v>3</v>
      </c>
      <c r="R83" s="16" t="n">
        <v>3.5</v>
      </c>
      <c r="S83" s="13"/>
      <c r="T83" s="14" t="n">
        <v>46327</v>
      </c>
      <c r="U83" s="12" t="n">
        <v>6</v>
      </c>
      <c r="V83" s="12" t="n">
        <v>3</v>
      </c>
      <c r="W83" s="12" t="n">
        <v>2</v>
      </c>
      <c r="X83" s="12" t="n">
        <v>1</v>
      </c>
      <c r="Y83" s="12" t="n">
        <v>2</v>
      </c>
      <c r="Z83" s="12" t="n">
        <v>2</v>
      </c>
      <c r="AA83" s="12" t="n">
        <v>2</v>
      </c>
      <c r="AB83" s="12" t="n">
        <v>2</v>
      </c>
      <c r="AC83" s="12" t="n">
        <v>1</v>
      </c>
      <c r="AD83" s="12" t="n">
        <v>2</v>
      </c>
      <c r="AE83" s="12" t="n">
        <v>1</v>
      </c>
      <c r="AF83" s="12" t="n">
        <v>1</v>
      </c>
      <c r="AG83" s="12" t="n">
        <v>1</v>
      </c>
      <c r="AH83" s="12" t="n">
        <v>2</v>
      </c>
      <c r="AI83" s="12" t="n">
        <v>2</v>
      </c>
      <c r="AJ83" s="12" t="n">
        <v>2</v>
      </c>
      <c r="AK83" s="12" t="n">
        <v>2</v>
      </c>
      <c r="AL83" s="12" t="n">
        <v>1</v>
      </c>
      <c r="AM83" s="12"/>
      <c r="AN83" s="12" t="n">
        <v>0</v>
      </c>
      <c r="AO83" s="12"/>
      <c r="AP83" s="12"/>
      <c r="AQ83" s="12" t="n">
        <v>0</v>
      </c>
      <c r="AR83" s="12"/>
      <c r="AS83" s="12" t="n">
        <v>0</v>
      </c>
      <c r="AT83" s="12" t="s">
        <v>73</v>
      </c>
      <c r="AU83" s="12" t="s">
        <v>286</v>
      </c>
      <c r="AV83" s="12" t="s">
        <v>650</v>
      </c>
    </row>
    <row r="84" customFormat="false" ht="15" hidden="false" customHeight="false" outlineLevel="0" collapsed="false">
      <c r="A84" s="12" t="s">
        <v>651</v>
      </c>
      <c r="B84" s="13" t="s">
        <v>652</v>
      </c>
      <c r="C84" s="12" t="s">
        <v>50</v>
      </c>
      <c r="D84" s="14" t="n">
        <v>37801</v>
      </c>
      <c r="E84" s="12" t="n">
        <f aca="false">DATEDIF(D84,'Chú giải'!$B$3,"Y")</f>
        <v>23</v>
      </c>
      <c r="F84" s="13" t="s">
        <v>65</v>
      </c>
      <c r="G84" s="13" t="s">
        <v>99</v>
      </c>
      <c r="H84" s="15" t="s">
        <v>653</v>
      </c>
      <c r="I84" s="13" t="s">
        <v>654</v>
      </c>
      <c r="J84" s="13" t="s">
        <v>655</v>
      </c>
      <c r="K84" s="13" t="s">
        <v>227</v>
      </c>
      <c r="L84" s="13" t="s">
        <v>129</v>
      </c>
      <c r="M84" s="12" t="s">
        <v>72</v>
      </c>
      <c r="N84" s="12" t="s">
        <v>60</v>
      </c>
      <c r="O84" s="12" t="s">
        <v>60</v>
      </c>
      <c r="P84" s="12" t="n">
        <v>6</v>
      </c>
      <c r="Q84" s="16" t="n">
        <v>3</v>
      </c>
      <c r="R84" s="16" t="n">
        <v>3.5</v>
      </c>
      <c r="S84" s="13"/>
      <c r="T84" s="14" t="n">
        <v>46327</v>
      </c>
      <c r="U84" s="12" t="n">
        <v>6</v>
      </c>
      <c r="V84" s="12" t="n">
        <v>3</v>
      </c>
      <c r="W84" s="12" t="n">
        <v>2</v>
      </c>
      <c r="X84" s="12" t="n">
        <v>3</v>
      </c>
      <c r="Y84" s="12" t="n">
        <v>2</v>
      </c>
      <c r="Z84" s="12" t="n">
        <v>2</v>
      </c>
      <c r="AA84" s="12" t="n">
        <v>2</v>
      </c>
      <c r="AB84" s="12" t="n">
        <v>2</v>
      </c>
      <c r="AC84" s="12" t="n">
        <v>1</v>
      </c>
      <c r="AD84" s="12" t="n">
        <v>2</v>
      </c>
      <c r="AE84" s="12" t="n">
        <v>1</v>
      </c>
      <c r="AF84" s="12" t="n">
        <v>1</v>
      </c>
      <c r="AG84" s="12" t="n">
        <v>1</v>
      </c>
      <c r="AH84" s="12" t="n">
        <v>2</v>
      </c>
      <c r="AI84" s="12" t="n">
        <v>2</v>
      </c>
      <c r="AJ84" s="12" t="n">
        <v>2</v>
      </c>
      <c r="AK84" s="12" t="n">
        <v>2</v>
      </c>
      <c r="AL84" s="12" t="n">
        <v>1</v>
      </c>
      <c r="AM84" s="12"/>
      <c r="AN84" s="12" t="n">
        <v>0</v>
      </c>
      <c r="AO84" s="12"/>
      <c r="AP84" s="12"/>
      <c r="AQ84" s="12" t="n">
        <v>0</v>
      </c>
      <c r="AR84" s="12"/>
      <c r="AS84" s="12" t="n">
        <v>0</v>
      </c>
      <c r="AT84" s="12" t="s">
        <v>73</v>
      </c>
      <c r="AU84" s="12" t="s">
        <v>74</v>
      </c>
      <c r="AV84" s="12" t="s">
        <v>656</v>
      </c>
    </row>
    <row r="85" customFormat="false" ht="15" hidden="false" customHeight="false" outlineLevel="0" collapsed="false">
      <c r="A85" s="7" t="s">
        <v>657</v>
      </c>
      <c r="B85" s="8" t="s">
        <v>658</v>
      </c>
      <c r="C85" s="7" t="s">
        <v>50</v>
      </c>
      <c r="D85" s="9" t="n">
        <v>36256</v>
      </c>
      <c r="E85" s="7" t="n">
        <f aca="false">DATEDIF(D85,'Chú giải'!$B$3,"Y")</f>
        <v>27</v>
      </c>
      <c r="F85" s="8" t="s">
        <v>65</v>
      </c>
      <c r="G85" s="8" t="s">
        <v>99</v>
      </c>
      <c r="H85" s="10" t="s">
        <v>659</v>
      </c>
      <c r="I85" s="8" t="s">
        <v>660</v>
      </c>
      <c r="J85" s="8" t="s">
        <v>661</v>
      </c>
      <c r="K85" s="8" t="s">
        <v>295</v>
      </c>
      <c r="L85" s="8" t="s">
        <v>149</v>
      </c>
      <c r="M85" s="7" t="s">
        <v>211</v>
      </c>
      <c r="N85" s="7" t="s">
        <v>60</v>
      </c>
      <c r="O85" s="7" t="s">
        <v>60</v>
      </c>
      <c r="P85" s="7" t="n">
        <v>12</v>
      </c>
      <c r="Q85" s="11" t="n">
        <v>3</v>
      </c>
      <c r="R85" s="11" t="n">
        <v>4</v>
      </c>
      <c r="S85" s="8" t="s">
        <v>414</v>
      </c>
      <c r="T85" s="9" t="n">
        <v>46369</v>
      </c>
      <c r="U85" s="7" t="n">
        <v>12</v>
      </c>
      <c r="V85" s="7" t="n">
        <v>6</v>
      </c>
      <c r="W85" s="7" t="n">
        <v>2</v>
      </c>
      <c r="X85" s="7" t="n">
        <v>1</v>
      </c>
      <c r="Y85" s="7" t="n">
        <v>1</v>
      </c>
      <c r="Z85" s="7" t="n">
        <v>2</v>
      </c>
      <c r="AA85" s="7" t="n">
        <v>4</v>
      </c>
      <c r="AB85" s="7" t="n">
        <v>2</v>
      </c>
      <c r="AC85" s="7" t="n">
        <v>4</v>
      </c>
      <c r="AD85" s="7" t="n">
        <v>3</v>
      </c>
      <c r="AE85" s="7" t="n">
        <v>1</v>
      </c>
      <c r="AF85" s="7" t="n">
        <v>1</v>
      </c>
      <c r="AG85" s="7" t="n">
        <v>1</v>
      </c>
      <c r="AH85" s="7" t="n">
        <v>3</v>
      </c>
      <c r="AI85" s="7" t="n">
        <v>1</v>
      </c>
      <c r="AJ85" s="7" t="n">
        <v>3</v>
      </c>
      <c r="AK85" s="7" t="n">
        <v>4</v>
      </c>
      <c r="AL85" s="7" t="n">
        <v>1</v>
      </c>
      <c r="AM85" s="7"/>
      <c r="AN85" s="7" t="n">
        <v>0</v>
      </c>
      <c r="AO85" s="7"/>
      <c r="AP85" s="7"/>
      <c r="AQ85" s="7" t="n">
        <v>0</v>
      </c>
      <c r="AR85" s="7"/>
      <c r="AS85" s="7" t="n">
        <v>1</v>
      </c>
      <c r="AT85" s="7" t="s">
        <v>62</v>
      </c>
      <c r="AU85" s="7"/>
      <c r="AV85" s="7"/>
    </row>
    <row r="86" customFormat="false" ht="15" hidden="false" customHeight="false" outlineLevel="0" collapsed="false">
      <c r="A86" s="7" t="s">
        <v>662</v>
      </c>
      <c r="B86" s="8" t="s">
        <v>663</v>
      </c>
      <c r="C86" s="7" t="s">
        <v>78</v>
      </c>
      <c r="D86" s="9" t="n">
        <v>34507</v>
      </c>
      <c r="E86" s="7" t="n">
        <f aca="false">DATEDIF(D86,'Chú giải'!$B$3,"Y")</f>
        <v>32</v>
      </c>
      <c r="F86" s="8" t="s">
        <v>664</v>
      </c>
      <c r="G86" s="8" t="s">
        <v>665</v>
      </c>
      <c r="H86" s="10" t="s">
        <v>666</v>
      </c>
      <c r="I86" s="8" t="s">
        <v>667</v>
      </c>
      <c r="J86" s="8" t="s">
        <v>668</v>
      </c>
      <c r="K86" s="8" t="s">
        <v>83</v>
      </c>
      <c r="L86" s="8" t="s">
        <v>57</v>
      </c>
      <c r="M86" s="7" t="s">
        <v>72</v>
      </c>
      <c r="N86" s="7" t="s">
        <v>60</v>
      </c>
      <c r="O86" s="7" t="s">
        <v>59</v>
      </c>
      <c r="P86" s="7" t="n">
        <v>10</v>
      </c>
      <c r="Q86" s="11" t="n">
        <v>4</v>
      </c>
      <c r="R86" s="11" t="n">
        <v>4.5</v>
      </c>
      <c r="S86" s="8"/>
      <c r="T86" s="9" t="n">
        <v>46343</v>
      </c>
      <c r="U86" s="7" t="n">
        <v>12</v>
      </c>
      <c r="V86" s="7" t="n">
        <v>6</v>
      </c>
      <c r="W86" s="7" t="n">
        <v>2</v>
      </c>
      <c r="X86" s="7" t="n">
        <v>1</v>
      </c>
      <c r="Y86" s="7" t="n">
        <v>2</v>
      </c>
      <c r="Z86" s="7" t="n">
        <v>4</v>
      </c>
      <c r="AA86" s="7" t="n">
        <v>4</v>
      </c>
      <c r="AB86" s="7" t="n">
        <v>2</v>
      </c>
      <c r="AC86" s="7" t="n">
        <v>1</v>
      </c>
      <c r="AD86" s="7" t="n">
        <v>2</v>
      </c>
      <c r="AE86" s="7" t="n">
        <v>1</v>
      </c>
      <c r="AF86" s="7" t="n">
        <v>1</v>
      </c>
      <c r="AG86" s="7" t="n">
        <v>1</v>
      </c>
      <c r="AH86" s="7" t="n">
        <v>3</v>
      </c>
      <c r="AI86" s="7" t="n">
        <v>3</v>
      </c>
      <c r="AJ86" s="7" t="n">
        <v>3</v>
      </c>
      <c r="AK86" s="7" t="n">
        <v>2</v>
      </c>
      <c r="AL86" s="7" t="n">
        <v>3</v>
      </c>
      <c r="AM86" s="7" t="n">
        <v>93</v>
      </c>
      <c r="AN86" s="7" t="n">
        <v>1</v>
      </c>
      <c r="AO86" s="7" t="n">
        <v>69</v>
      </c>
      <c r="AP86" s="7" t="n">
        <v>3.6</v>
      </c>
      <c r="AQ86" s="7" t="n">
        <v>4</v>
      </c>
      <c r="AR86" s="7" t="n">
        <v>4</v>
      </c>
      <c r="AS86" s="7" t="n">
        <v>0</v>
      </c>
      <c r="AT86" s="7" t="s">
        <v>62</v>
      </c>
      <c r="AU86" s="7"/>
      <c r="AV86" s="7"/>
    </row>
    <row r="87" customFormat="false" ht="15" hidden="false" customHeight="false" outlineLevel="0" collapsed="false">
      <c r="A87" s="7" t="s">
        <v>669</v>
      </c>
      <c r="B87" s="8" t="s">
        <v>670</v>
      </c>
      <c r="C87" s="7" t="s">
        <v>50</v>
      </c>
      <c r="D87" s="9" t="n">
        <v>37636</v>
      </c>
      <c r="E87" s="7" t="n">
        <f aca="false">DATEDIF(D87,'Chú giải'!$B$3,"Y")</f>
        <v>23</v>
      </c>
      <c r="F87" s="8" t="s">
        <v>79</v>
      </c>
      <c r="G87" s="8" t="s">
        <v>52</v>
      </c>
      <c r="H87" s="10" t="s">
        <v>671</v>
      </c>
      <c r="I87" s="8" t="s">
        <v>672</v>
      </c>
      <c r="J87" s="8" t="s">
        <v>673</v>
      </c>
      <c r="K87" s="8" t="s">
        <v>192</v>
      </c>
      <c r="L87" s="8" t="s">
        <v>104</v>
      </c>
      <c r="M87" s="7" t="s">
        <v>211</v>
      </c>
      <c r="N87" s="7" t="s">
        <v>60</v>
      </c>
      <c r="O87" s="7" t="s">
        <v>60</v>
      </c>
      <c r="P87" s="7" t="n">
        <v>3</v>
      </c>
      <c r="Q87" s="11" t="n">
        <v>1.5</v>
      </c>
      <c r="R87" s="11" t="n">
        <v>2.5</v>
      </c>
      <c r="S87" s="8" t="s">
        <v>262</v>
      </c>
      <c r="T87" s="9" t="n">
        <v>46348</v>
      </c>
      <c r="U87" s="7" t="n">
        <v>9</v>
      </c>
      <c r="V87" s="7" t="n">
        <v>3</v>
      </c>
      <c r="W87" s="7" t="n">
        <v>3</v>
      </c>
      <c r="X87" s="7" t="n">
        <v>1</v>
      </c>
      <c r="Y87" s="7" t="n">
        <v>2</v>
      </c>
      <c r="Z87" s="7" t="n">
        <v>4</v>
      </c>
      <c r="AA87" s="7" t="n">
        <v>1</v>
      </c>
      <c r="AB87" s="7" t="n">
        <v>2</v>
      </c>
      <c r="AC87" s="7" t="n">
        <v>4</v>
      </c>
      <c r="AD87" s="7" t="n">
        <v>2</v>
      </c>
      <c r="AE87" s="7" t="n">
        <v>1</v>
      </c>
      <c r="AF87" s="7" t="n">
        <v>2</v>
      </c>
      <c r="AG87" s="7" t="n">
        <v>1</v>
      </c>
      <c r="AH87" s="7" t="n">
        <v>2</v>
      </c>
      <c r="AI87" s="7" t="n">
        <v>3</v>
      </c>
      <c r="AJ87" s="7" t="n">
        <v>3</v>
      </c>
      <c r="AK87" s="7" t="n">
        <v>2</v>
      </c>
      <c r="AL87" s="7" t="n">
        <v>3</v>
      </c>
      <c r="AM87" s="7" t="n">
        <v>96</v>
      </c>
      <c r="AN87" s="7" t="n">
        <v>2</v>
      </c>
      <c r="AO87" s="7" t="n">
        <v>86</v>
      </c>
      <c r="AP87" s="7" t="n">
        <v>3.6</v>
      </c>
      <c r="AQ87" s="7" t="n">
        <v>2</v>
      </c>
      <c r="AR87" s="7" t="n">
        <v>4.7</v>
      </c>
      <c r="AS87" s="7" t="n">
        <v>0</v>
      </c>
      <c r="AT87" s="7" t="s">
        <v>62</v>
      </c>
      <c r="AU87" s="7"/>
      <c r="AV87" s="7"/>
    </row>
    <row r="88" customFormat="false" ht="15" hidden="false" customHeight="false" outlineLevel="0" collapsed="false">
      <c r="A88" s="12" t="s">
        <v>674</v>
      </c>
      <c r="B88" s="13" t="s">
        <v>675</v>
      </c>
      <c r="C88" s="12" t="s">
        <v>78</v>
      </c>
      <c r="D88" s="14" t="n">
        <v>37791</v>
      </c>
      <c r="E88" s="12" t="n">
        <f aca="false">DATEDIF(D88,'Chú giải'!$B$3,"Y")</f>
        <v>23</v>
      </c>
      <c r="F88" s="13" t="s">
        <v>65</v>
      </c>
      <c r="G88" s="13" t="s">
        <v>99</v>
      </c>
      <c r="H88" s="15" t="s">
        <v>676</v>
      </c>
      <c r="I88" s="13" t="s">
        <v>677</v>
      </c>
      <c r="J88" s="13" t="s">
        <v>678</v>
      </c>
      <c r="K88" s="13" t="s">
        <v>453</v>
      </c>
      <c r="L88" s="13" t="s">
        <v>94</v>
      </c>
      <c r="M88" s="12" t="s">
        <v>72</v>
      </c>
      <c r="N88" s="12" t="s">
        <v>60</v>
      </c>
      <c r="O88" s="12" t="s">
        <v>60</v>
      </c>
      <c r="P88" s="12" t="n">
        <v>6</v>
      </c>
      <c r="Q88" s="16" t="n">
        <v>3</v>
      </c>
      <c r="R88" s="16" t="n">
        <v>3.5</v>
      </c>
      <c r="S88" s="13"/>
      <c r="T88" s="14" t="n">
        <v>46327</v>
      </c>
      <c r="U88" s="12" t="n">
        <v>6</v>
      </c>
      <c r="V88" s="12" t="n">
        <v>6</v>
      </c>
      <c r="W88" s="12" t="n">
        <v>2</v>
      </c>
      <c r="X88" s="12" t="n">
        <v>1</v>
      </c>
      <c r="Y88" s="12" t="n">
        <v>2</v>
      </c>
      <c r="Z88" s="12" t="n">
        <v>2</v>
      </c>
      <c r="AA88" s="12" t="n">
        <v>2</v>
      </c>
      <c r="AB88" s="12" t="n">
        <v>2</v>
      </c>
      <c r="AC88" s="12" t="n">
        <v>1</v>
      </c>
      <c r="AD88" s="12" t="n">
        <v>2</v>
      </c>
      <c r="AE88" s="12" t="n">
        <v>1</v>
      </c>
      <c r="AF88" s="12" t="n">
        <v>1</v>
      </c>
      <c r="AG88" s="12" t="n">
        <v>1</v>
      </c>
      <c r="AH88" s="12" t="n">
        <v>2</v>
      </c>
      <c r="AI88" s="12" t="n">
        <v>2</v>
      </c>
      <c r="AJ88" s="12" t="n">
        <v>2</v>
      </c>
      <c r="AK88" s="12" t="n">
        <v>2</v>
      </c>
      <c r="AL88" s="12" t="n">
        <v>1</v>
      </c>
      <c r="AM88" s="12"/>
      <c r="AN88" s="12" t="n">
        <v>0</v>
      </c>
      <c r="AO88" s="12"/>
      <c r="AP88" s="12"/>
      <c r="AQ88" s="12" t="n">
        <v>0</v>
      </c>
      <c r="AR88" s="12"/>
      <c r="AS88" s="12" t="n">
        <v>0</v>
      </c>
      <c r="AT88" s="12" t="s">
        <v>73</v>
      </c>
      <c r="AU88" s="12" t="s">
        <v>522</v>
      </c>
      <c r="AV88" s="12" t="s">
        <v>679</v>
      </c>
    </row>
    <row r="89" customFormat="false" ht="15" hidden="false" customHeight="false" outlineLevel="0" collapsed="false">
      <c r="A89" s="12" t="s">
        <v>680</v>
      </c>
      <c r="B89" s="13" t="s">
        <v>681</v>
      </c>
      <c r="C89" s="12" t="s">
        <v>78</v>
      </c>
      <c r="D89" s="14" t="n">
        <v>35903</v>
      </c>
      <c r="E89" s="12" t="n">
        <f aca="false">DATEDIF(D89,'Chú giải'!$B$3,"Y")</f>
        <v>28</v>
      </c>
      <c r="F89" s="13" t="s">
        <v>65</v>
      </c>
      <c r="G89" s="13" t="s">
        <v>66</v>
      </c>
      <c r="H89" s="15" t="s">
        <v>682</v>
      </c>
      <c r="I89" s="13" t="s">
        <v>683</v>
      </c>
      <c r="J89" s="13" t="s">
        <v>684</v>
      </c>
      <c r="K89" s="13" t="s">
        <v>185</v>
      </c>
      <c r="L89" s="13" t="s">
        <v>57</v>
      </c>
      <c r="M89" s="12" t="s">
        <v>72</v>
      </c>
      <c r="N89" s="12" t="s">
        <v>60</v>
      </c>
      <c r="O89" s="12" t="s">
        <v>60</v>
      </c>
      <c r="P89" s="12" t="n">
        <v>6</v>
      </c>
      <c r="Q89" s="16" t="n">
        <v>3</v>
      </c>
      <c r="R89" s="16" t="n">
        <v>3.5</v>
      </c>
      <c r="S89" s="13"/>
      <c r="T89" s="14" t="n">
        <v>46327</v>
      </c>
      <c r="U89" s="12" t="n">
        <v>6</v>
      </c>
      <c r="V89" s="12" t="n">
        <v>3</v>
      </c>
      <c r="W89" s="12" t="n">
        <v>2</v>
      </c>
      <c r="X89" s="12" t="n">
        <v>1</v>
      </c>
      <c r="Y89" s="12" t="n">
        <v>2</v>
      </c>
      <c r="Z89" s="12" t="n">
        <v>2</v>
      </c>
      <c r="AA89" s="12" t="n">
        <v>2</v>
      </c>
      <c r="AB89" s="12" t="n">
        <v>2</v>
      </c>
      <c r="AC89" s="12" t="n">
        <v>1</v>
      </c>
      <c r="AD89" s="12" t="n">
        <v>2</v>
      </c>
      <c r="AE89" s="12" t="n">
        <v>1</v>
      </c>
      <c r="AF89" s="12" t="n">
        <v>1</v>
      </c>
      <c r="AG89" s="12" t="n">
        <v>1</v>
      </c>
      <c r="AH89" s="12" t="n">
        <v>2</v>
      </c>
      <c r="AI89" s="12" t="n">
        <v>2</v>
      </c>
      <c r="AJ89" s="12" t="n">
        <v>2</v>
      </c>
      <c r="AK89" s="12" t="n">
        <v>2</v>
      </c>
      <c r="AL89" s="12" t="n">
        <v>1</v>
      </c>
      <c r="AM89" s="12"/>
      <c r="AN89" s="12" t="n">
        <v>0</v>
      </c>
      <c r="AO89" s="12"/>
      <c r="AP89" s="12"/>
      <c r="AQ89" s="12" t="n">
        <v>0</v>
      </c>
      <c r="AR89" s="12"/>
      <c r="AS89" s="12" t="n">
        <v>0</v>
      </c>
      <c r="AT89" s="12" t="s">
        <v>73</v>
      </c>
      <c r="AU89" s="12" t="s">
        <v>236</v>
      </c>
      <c r="AV89" s="12" t="s">
        <v>685</v>
      </c>
    </row>
    <row r="90" customFormat="false" ht="15" hidden="false" customHeight="false" outlineLevel="0" collapsed="false">
      <c r="A90" s="12" t="s">
        <v>686</v>
      </c>
      <c r="B90" s="13" t="s">
        <v>687</v>
      </c>
      <c r="C90" s="12" t="s">
        <v>50</v>
      </c>
      <c r="D90" s="14" t="n">
        <v>37700</v>
      </c>
      <c r="E90" s="12" t="n">
        <f aca="false">DATEDIF(D90,'Chú giải'!$B$3,"Y")</f>
        <v>23</v>
      </c>
      <c r="F90" s="13" t="s">
        <v>65</v>
      </c>
      <c r="G90" s="13" t="s">
        <v>99</v>
      </c>
      <c r="H90" s="15" t="s">
        <v>688</v>
      </c>
      <c r="I90" s="13" t="s">
        <v>689</v>
      </c>
      <c r="J90" s="13" t="s">
        <v>690</v>
      </c>
      <c r="K90" s="13" t="s">
        <v>393</v>
      </c>
      <c r="L90" s="13" t="s">
        <v>271</v>
      </c>
      <c r="M90" s="12" t="s">
        <v>72</v>
      </c>
      <c r="N90" s="12" t="s">
        <v>60</v>
      </c>
      <c r="O90" s="12" t="s">
        <v>60</v>
      </c>
      <c r="P90" s="12" t="n">
        <v>6</v>
      </c>
      <c r="Q90" s="16" t="n">
        <v>3</v>
      </c>
      <c r="R90" s="16" t="n">
        <v>3.5</v>
      </c>
      <c r="S90" s="13"/>
      <c r="T90" s="14" t="n">
        <v>46327</v>
      </c>
      <c r="U90" s="12" t="n">
        <v>6</v>
      </c>
      <c r="V90" s="12" t="n">
        <v>3</v>
      </c>
      <c r="W90" s="12" t="n">
        <v>2</v>
      </c>
      <c r="X90" s="12" t="n">
        <v>1</v>
      </c>
      <c r="Y90" s="12" t="n">
        <v>2</v>
      </c>
      <c r="Z90" s="12" t="n">
        <v>2</v>
      </c>
      <c r="AA90" s="12" t="n">
        <v>2</v>
      </c>
      <c r="AB90" s="12" t="n">
        <v>2</v>
      </c>
      <c r="AC90" s="12" t="n">
        <v>1</v>
      </c>
      <c r="AD90" s="12" t="n">
        <v>2</v>
      </c>
      <c r="AE90" s="12" t="n">
        <v>1</v>
      </c>
      <c r="AF90" s="12" t="n">
        <v>1</v>
      </c>
      <c r="AG90" s="12" t="n">
        <v>1</v>
      </c>
      <c r="AH90" s="12" t="n">
        <v>2</v>
      </c>
      <c r="AI90" s="12" t="n">
        <v>2</v>
      </c>
      <c r="AJ90" s="12" t="n">
        <v>2</v>
      </c>
      <c r="AK90" s="12" t="n">
        <v>2</v>
      </c>
      <c r="AL90" s="12" t="n">
        <v>1</v>
      </c>
      <c r="AM90" s="12"/>
      <c r="AN90" s="12" t="n">
        <v>0</v>
      </c>
      <c r="AO90" s="12"/>
      <c r="AP90" s="12"/>
      <c r="AQ90" s="12" t="n">
        <v>0</v>
      </c>
      <c r="AR90" s="12"/>
      <c r="AS90" s="12" t="n">
        <v>0</v>
      </c>
      <c r="AT90" s="12" t="s">
        <v>73</v>
      </c>
      <c r="AU90" s="12" t="s">
        <v>309</v>
      </c>
      <c r="AV90" s="12" t="s">
        <v>691</v>
      </c>
    </row>
    <row r="91" customFormat="false" ht="15" hidden="false" customHeight="false" outlineLevel="0" collapsed="false">
      <c r="A91" s="7" t="s">
        <v>692</v>
      </c>
      <c r="B91" s="8" t="s">
        <v>693</v>
      </c>
      <c r="C91" s="7" t="s">
        <v>50</v>
      </c>
      <c r="D91" s="9" t="n">
        <v>38738</v>
      </c>
      <c r="E91" s="7" t="n">
        <f aca="false">DATEDIF(D91,'Chú giải'!$B$3,"Y")</f>
        <v>20</v>
      </c>
      <c r="F91" s="8" t="s">
        <v>230</v>
      </c>
      <c r="G91" s="8" t="s">
        <v>52</v>
      </c>
      <c r="H91" s="10" t="s">
        <v>694</v>
      </c>
      <c r="I91" s="8" t="s">
        <v>695</v>
      </c>
      <c r="J91" s="8" t="s">
        <v>696</v>
      </c>
      <c r="K91" s="8" t="s">
        <v>697</v>
      </c>
      <c r="L91" s="8" t="s">
        <v>104</v>
      </c>
      <c r="M91" s="7" t="s">
        <v>72</v>
      </c>
      <c r="N91" s="7" t="s">
        <v>59</v>
      </c>
      <c r="O91" s="7" t="s">
        <v>60</v>
      </c>
      <c r="P91" s="7" t="n">
        <v>6</v>
      </c>
      <c r="Q91" s="11" t="n">
        <v>2</v>
      </c>
      <c r="R91" s="11" t="n">
        <v>2.5</v>
      </c>
      <c r="S91" s="8" t="s">
        <v>113</v>
      </c>
      <c r="T91" s="9" t="n">
        <v>46342</v>
      </c>
      <c r="U91" s="7" t="n">
        <v>3</v>
      </c>
      <c r="V91" s="7" t="n">
        <v>3</v>
      </c>
      <c r="W91" s="7" t="n">
        <v>3</v>
      </c>
      <c r="X91" s="7" t="n">
        <v>1</v>
      </c>
      <c r="Y91" s="7" t="n">
        <v>2</v>
      </c>
      <c r="Z91" s="7" t="n">
        <v>4</v>
      </c>
      <c r="AA91" s="7" t="n">
        <v>2</v>
      </c>
      <c r="AB91" s="7" t="n">
        <v>2</v>
      </c>
      <c r="AC91" s="7" t="n">
        <v>1</v>
      </c>
      <c r="AD91" s="7" t="n">
        <v>1</v>
      </c>
      <c r="AE91" s="7" t="n">
        <v>1</v>
      </c>
      <c r="AF91" s="7" t="n">
        <v>1</v>
      </c>
      <c r="AG91" s="7" t="n">
        <v>1</v>
      </c>
      <c r="AH91" s="7" t="n">
        <v>2</v>
      </c>
      <c r="AI91" s="7" t="n">
        <v>1</v>
      </c>
      <c r="AJ91" s="7" t="n">
        <v>2</v>
      </c>
      <c r="AK91" s="7" t="n">
        <v>4</v>
      </c>
      <c r="AL91" s="7" t="n">
        <v>1</v>
      </c>
      <c r="AM91" s="7"/>
      <c r="AN91" s="7" t="n">
        <v>0</v>
      </c>
      <c r="AO91" s="7"/>
      <c r="AP91" s="7"/>
      <c r="AQ91" s="7" t="n">
        <v>0</v>
      </c>
      <c r="AR91" s="7"/>
      <c r="AS91" s="7" t="n">
        <v>0</v>
      </c>
      <c r="AT91" s="7" t="s">
        <v>62</v>
      </c>
      <c r="AU91" s="7"/>
      <c r="AV91" s="7"/>
    </row>
    <row r="92" customFormat="false" ht="15" hidden="false" customHeight="false" outlineLevel="0" collapsed="false">
      <c r="A92" s="12" t="s">
        <v>698</v>
      </c>
      <c r="B92" s="13" t="s">
        <v>699</v>
      </c>
      <c r="C92" s="12" t="s">
        <v>50</v>
      </c>
      <c r="D92" s="14" t="n">
        <v>37658</v>
      </c>
      <c r="E92" s="12" t="n">
        <f aca="false">DATEDIF(D92,'Chú giải'!$B$3,"Y")</f>
        <v>23</v>
      </c>
      <c r="F92" s="13" t="s">
        <v>65</v>
      </c>
      <c r="G92" s="13" t="s">
        <v>99</v>
      </c>
      <c r="H92" s="15" t="s">
        <v>700</v>
      </c>
      <c r="I92" s="13" t="s">
        <v>701</v>
      </c>
      <c r="J92" s="13" t="s">
        <v>702</v>
      </c>
      <c r="K92" s="13" t="s">
        <v>703</v>
      </c>
      <c r="L92" s="13" t="s">
        <v>57</v>
      </c>
      <c r="M92" s="12" t="s">
        <v>72</v>
      </c>
      <c r="N92" s="12" t="s">
        <v>60</v>
      </c>
      <c r="O92" s="12" t="s">
        <v>60</v>
      </c>
      <c r="P92" s="12" t="n">
        <v>6</v>
      </c>
      <c r="Q92" s="16" t="n">
        <v>3</v>
      </c>
      <c r="R92" s="16" t="n">
        <v>3.5</v>
      </c>
      <c r="S92" s="13"/>
      <c r="T92" s="14" t="n">
        <v>46327</v>
      </c>
      <c r="U92" s="12" t="n">
        <v>6</v>
      </c>
      <c r="V92" s="12" t="n">
        <v>3</v>
      </c>
      <c r="W92" s="12" t="n">
        <v>3</v>
      </c>
      <c r="X92" s="12" t="n">
        <v>1</v>
      </c>
      <c r="Y92" s="12" t="n">
        <v>3</v>
      </c>
      <c r="Z92" s="12" t="n">
        <v>2</v>
      </c>
      <c r="AA92" s="12" t="n">
        <v>2</v>
      </c>
      <c r="AB92" s="12" t="n">
        <v>2</v>
      </c>
      <c r="AC92" s="12" t="n">
        <v>1</v>
      </c>
      <c r="AD92" s="12" t="n">
        <v>2</v>
      </c>
      <c r="AE92" s="12" t="n">
        <v>1</v>
      </c>
      <c r="AF92" s="12" t="n">
        <v>1</v>
      </c>
      <c r="AG92" s="12" t="n">
        <v>1</v>
      </c>
      <c r="AH92" s="12" t="n">
        <v>2</v>
      </c>
      <c r="AI92" s="12" t="n">
        <v>2</v>
      </c>
      <c r="AJ92" s="12" t="n">
        <v>2</v>
      </c>
      <c r="AK92" s="12" t="n">
        <v>2</v>
      </c>
      <c r="AL92" s="12" t="n">
        <v>1</v>
      </c>
      <c r="AM92" s="12"/>
      <c r="AN92" s="12" t="n">
        <v>0</v>
      </c>
      <c r="AO92" s="12"/>
      <c r="AP92" s="12"/>
      <c r="AQ92" s="12" t="n">
        <v>0</v>
      </c>
      <c r="AR92" s="12"/>
      <c r="AS92" s="12" t="n">
        <v>0</v>
      </c>
      <c r="AT92" s="12" t="s">
        <v>73</v>
      </c>
      <c r="AU92" s="12" t="s">
        <v>278</v>
      </c>
      <c r="AV92" s="12" t="s">
        <v>704</v>
      </c>
    </row>
    <row r="93" customFormat="false" ht="15" hidden="false" customHeight="false" outlineLevel="0" collapsed="false">
      <c r="A93" s="12" t="s">
        <v>705</v>
      </c>
      <c r="B93" s="13" t="s">
        <v>706</v>
      </c>
      <c r="C93" s="12" t="s">
        <v>50</v>
      </c>
      <c r="D93" s="14" t="n">
        <v>37059</v>
      </c>
      <c r="E93" s="12" t="n">
        <f aca="false">DATEDIF(D93,'Chú giải'!$B$3,"Y")</f>
        <v>25</v>
      </c>
      <c r="F93" s="13" t="s">
        <v>65</v>
      </c>
      <c r="G93" s="13" t="s">
        <v>66</v>
      </c>
      <c r="H93" s="15" t="s">
        <v>707</v>
      </c>
      <c r="I93" s="13" t="s">
        <v>708</v>
      </c>
      <c r="J93" s="13" t="s">
        <v>709</v>
      </c>
      <c r="K93" s="13" t="s">
        <v>218</v>
      </c>
      <c r="L93" s="13" t="s">
        <v>94</v>
      </c>
      <c r="M93" s="12" t="s">
        <v>72</v>
      </c>
      <c r="N93" s="12" t="s">
        <v>60</v>
      </c>
      <c r="O93" s="12" t="s">
        <v>60</v>
      </c>
      <c r="P93" s="12" t="n">
        <v>6</v>
      </c>
      <c r="Q93" s="16" t="n">
        <v>3</v>
      </c>
      <c r="R93" s="16" t="n">
        <v>3.5</v>
      </c>
      <c r="S93" s="13"/>
      <c r="T93" s="14" t="n">
        <v>46327</v>
      </c>
      <c r="U93" s="12" t="n">
        <v>6</v>
      </c>
      <c r="V93" s="12" t="n">
        <v>3</v>
      </c>
      <c r="W93" s="12" t="n">
        <v>1</v>
      </c>
      <c r="X93" s="12" t="n">
        <v>2</v>
      </c>
      <c r="Y93" s="12" t="n">
        <v>2</v>
      </c>
      <c r="Z93" s="12" t="n">
        <v>2</v>
      </c>
      <c r="AA93" s="12" t="n">
        <v>2</v>
      </c>
      <c r="AB93" s="12" t="n">
        <v>2</v>
      </c>
      <c r="AC93" s="12" t="n">
        <v>1</v>
      </c>
      <c r="AD93" s="12" t="n">
        <v>2</v>
      </c>
      <c r="AE93" s="12" t="n">
        <v>1</v>
      </c>
      <c r="AF93" s="12" t="n">
        <v>1</v>
      </c>
      <c r="AG93" s="12" t="n">
        <v>1</v>
      </c>
      <c r="AH93" s="12" t="n">
        <v>2</v>
      </c>
      <c r="AI93" s="12" t="n">
        <v>2</v>
      </c>
      <c r="AJ93" s="12" t="n">
        <v>2</v>
      </c>
      <c r="AK93" s="12" t="n">
        <v>2</v>
      </c>
      <c r="AL93" s="12" t="n">
        <v>1</v>
      </c>
      <c r="AM93" s="12"/>
      <c r="AN93" s="12" t="n">
        <v>0</v>
      </c>
      <c r="AO93" s="12"/>
      <c r="AP93" s="12"/>
      <c r="AQ93" s="12" t="n">
        <v>0</v>
      </c>
      <c r="AR93" s="12"/>
      <c r="AS93" s="12" t="n">
        <v>0</v>
      </c>
      <c r="AT93" s="12" t="s">
        <v>73</v>
      </c>
      <c r="AU93" s="12" t="s">
        <v>335</v>
      </c>
      <c r="AV93" s="12" t="s">
        <v>710</v>
      </c>
    </row>
    <row r="94" customFormat="false" ht="15" hidden="false" customHeight="false" outlineLevel="0" collapsed="false">
      <c r="A94" s="12" t="s">
        <v>711</v>
      </c>
      <c r="B94" s="13" t="s">
        <v>712</v>
      </c>
      <c r="C94" s="12" t="s">
        <v>50</v>
      </c>
      <c r="D94" s="14" t="n">
        <v>36951</v>
      </c>
      <c r="E94" s="12" t="n">
        <f aca="false">DATEDIF(D94,'Chú giải'!$B$3,"Y")</f>
        <v>25</v>
      </c>
      <c r="F94" s="13" t="s">
        <v>65</v>
      </c>
      <c r="G94" s="13" t="s">
        <v>66</v>
      </c>
      <c r="H94" s="15" t="s">
        <v>713</v>
      </c>
      <c r="I94" s="13" t="s">
        <v>714</v>
      </c>
      <c r="J94" s="13" t="s">
        <v>715</v>
      </c>
      <c r="K94" s="13" t="s">
        <v>192</v>
      </c>
      <c r="L94" s="13" t="s">
        <v>104</v>
      </c>
      <c r="M94" s="12" t="s">
        <v>211</v>
      </c>
      <c r="N94" s="12" t="s">
        <v>60</v>
      </c>
      <c r="O94" s="12" t="s">
        <v>60</v>
      </c>
      <c r="P94" s="12" t="n">
        <v>6</v>
      </c>
      <c r="Q94" s="16" t="n">
        <v>3</v>
      </c>
      <c r="R94" s="16" t="n">
        <v>3.5</v>
      </c>
      <c r="S94" s="13"/>
      <c r="T94" s="14" t="n">
        <v>46327</v>
      </c>
      <c r="U94" s="12" t="n">
        <v>6</v>
      </c>
      <c r="V94" s="12" t="n">
        <v>3</v>
      </c>
      <c r="W94" s="12" t="n">
        <v>2</v>
      </c>
      <c r="X94" s="12" t="n">
        <v>1</v>
      </c>
      <c r="Y94" s="12" t="n">
        <v>2</v>
      </c>
      <c r="Z94" s="12" t="n">
        <v>2</v>
      </c>
      <c r="AA94" s="12" t="n">
        <v>2</v>
      </c>
      <c r="AB94" s="12" t="n">
        <v>2</v>
      </c>
      <c r="AC94" s="12" t="n">
        <v>1</v>
      </c>
      <c r="AD94" s="12" t="n">
        <v>2</v>
      </c>
      <c r="AE94" s="12" t="n">
        <v>1</v>
      </c>
      <c r="AF94" s="12" t="n">
        <v>1</v>
      </c>
      <c r="AG94" s="12" t="n">
        <v>1</v>
      </c>
      <c r="AH94" s="12" t="n">
        <v>2</v>
      </c>
      <c r="AI94" s="12" t="n">
        <v>2</v>
      </c>
      <c r="AJ94" s="12" t="n">
        <v>2</v>
      </c>
      <c r="AK94" s="12" t="n">
        <v>2</v>
      </c>
      <c r="AL94" s="12" t="n">
        <v>1</v>
      </c>
      <c r="AM94" s="12"/>
      <c r="AN94" s="12" t="n">
        <v>0</v>
      </c>
      <c r="AO94" s="12"/>
      <c r="AP94" s="12"/>
      <c r="AQ94" s="12" t="n">
        <v>0</v>
      </c>
      <c r="AR94" s="12"/>
      <c r="AS94" s="12" t="n">
        <v>0</v>
      </c>
      <c r="AT94" s="12" t="s">
        <v>73</v>
      </c>
      <c r="AU94" s="12" t="s">
        <v>574</v>
      </c>
      <c r="AV94" s="12" t="s">
        <v>716</v>
      </c>
    </row>
    <row r="95" customFormat="false" ht="15" hidden="false" customHeight="false" outlineLevel="0" collapsed="false">
      <c r="A95" s="12" t="s">
        <v>717</v>
      </c>
      <c r="B95" s="13" t="s">
        <v>718</v>
      </c>
      <c r="C95" s="12" t="s">
        <v>78</v>
      </c>
      <c r="D95" s="14" t="n">
        <v>37757</v>
      </c>
      <c r="E95" s="12" t="n">
        <f aca="false">DATEDIF(D95,'Chú giải'!$B$3,"Y")</f>
        <v>23</v>
      </c>
      <c r="F95" s="13" t="s">
        <v>65</v>
      </c>
      <c r="G95" s="13" t="s">
        <v>99</v>
      </c>
      <c r="H95" s="15" t="s">
        <v>719</v>
      </c>
      <c r="I95" s="13" t="s">
        <v>720</v>
      </c>
      <c r="J95" s="13" t="s">
        <v>721</v>
      </c>
      <c r="K95" s="13" t="s">
        <v>722</v>
      </c>
      <c r="L95" s="13" t="s">
        <v>138</v>
      </c>
      <c r="M95" s="12" t="s">
        <v>72</v>
      </c>
      <c r="N95" s="12" t="s">
        <v>60</v>
      </c>
      <c r="O95" s="12" t="s">
        <v>60</v>
      </c>
      <c r="P95" s="12" t="n">
        <v>6</v>
      </c>
      <c r="Q95" s="16" t="n">
        <v>3</v>
      </c>
      <c r="R95" s="16" t="n">
        <v>3.5</v>
      </c>
      <c r="S95" s="13"/>
      <c r="T95" s="14" t="n">
        <v>46327</v>
      </c>
      <c r="U95" s="12" t="n">
        <v>6</v>
      </c>
      <c r="V95" s="12" t="n">
        <v>3</v>
      </c>
      <c r="W95" s="12" t="n">
        <v>2</v>
      </c>
      <c r="X95" s="12" t="n">
        <v>1</v>
      </c>
      <c r="Y95" s="12" t="n">
        <v>2</v>
      </c>
      <c r="Z95" s="12" t="n">
        <v>2</v>
      </c>
      <c r="AA95" s="12" t="n">
        <v>2</v>
      </c>
      <c r="AB95" s="12" t="n">
        <v>2</v>
      </c>
      <c r="AC95" s="12" t="n">
        <v>1</v>
      </c>
      <c r="AD95" s="12" t="n">
        <v>2</v>
      </c>
      <c r="AE95" s="12" t="n">
        <v>1</v>
      </c>
      <c r="AF95" s="12" t="n">
        <v>1</v>
      </c>
      <c r="AG95" s="12" t="n">
        <v>1</v>
      </c>
      <c r="AH95" s="12" t="n">
        <v>2</v>
      </c>
      <c r="AI95" s="12" t="n">
        <v>2</v>
      </c>
      <c r="AJ95" s="12" t="n">
        <v>2</v>
      </c>
      <c r="AK95" s="12" t="n">
        <v>2</v>
      </c>
      <c r="AL95" s="12" t="n">
        <v>1</v>
      </c>
      <c r="AM95" s="12"/>
      <c r="AN95" s="12" t="n">
        <v>0</v>
      </c>
      <c r="AO95" s="12"/>
      <c r="AP95" s="12"/>
      <c r="AQ95" s="12" t="n">
        <v>0</v>
      </c>
      <c r="AR95" s="12"/>
      <c r="AS95" s="12" t="n">
        <v>0</v>
      </c>
      <c r="AT95" s="12" t="s">
        <v>73</v>
      </c>
      <c r="AU95" s="12" t="s">
        <v>243</v>
      </c>
      <c r="AV95" s="12" t="s">
        <v>723</v>
      </c>
    </row>
    <row r="96" customFormat="false" ht="15" hidden="false" customHeight="false" outlineLevel="0" collapsed="false">
      <c r="A96" s="12" t="s">
        <v>724</v>
      </c>
      <c r="B96" s="13" t="s">
        <v>725</v>
      </c>
      <c r="C96" s="12" t="s">
        <v>78</v>
      </c>
      <c r="D96" s="14" t="n">
        <v>37695</v>
      </c>
      <c r="E96" s="12" t="n">
        <f aca="false">DATEDIF(D96,'Chú giải'!$B$3,"Y")</f>
        <v>23</v>
      </c>
      <c r="F96" s="13" t="s">
        <v>65</v>
      </c>
      <c r="G96" s="13" t="s">
        <v>99</v>
      </c>
      <c r="H96" s="15" t="s">
        <v>726</v>
      </c>
      <c r="I96" s="13" t="s">
        <v>727</v>
      </c>
      <c r="J96" s="13" t="s">
        <v>728</v>
      </c>
      <c r="K96" s="13" t="s">
        <v>593</v>
      </c>
      <c r="L96" s="13" t="s">
        <v>104</v>
      </c>
      <c r="M96" s="12" t="s">
        <v>72</v>
      </c>
      <c r="N96" s="12" t="s">
        <v>60</v>
      </c>
      <c r="O96" s="12" t="s">
        <v>60</v>
      </c>
      <c r="P96" s="12" t="n">
        <v>6</v>
      </c>
      <c r="Q96" s="16" t="n">
        <v>3</v>
      </c>
      <c r="R96" s="16" t="n">
        <v>3.5</v>
      </c>
      <c r="S96" s="13"/>
      <c r="T96" s="14" t="n">
        <v>46327</v>
      </c>
      <c r="U96" s="12" t="n">
        <v>6</v>
      </c>
      <c r="V96" s="12" t="n">
        <v>3</v>
      </c>
      <c r="W96" s="12" t="n">
        <v>3</v>
      </c>
      <c r="X96" s="12" t="n">
        <v>1</v>
      </c>
      <c r="Y96" s="12" t="n">
        <v>2</v>
      </c>
      <c r="Z96" s="12" t="n">
        <v>2</v>
      </c>
      <c r="AA96" s="12" t="n">
        <v>2</v>
      </c>
      <c r="AB96" s="12" t="n">
        <v>2</v>
      </c>
      <c r="AC96" s="12" t="n">
        <v>1</v>
      </c>
      <c r="AD96" s="12" t="n">
        <v>2</v>
      </c>
      <c r="AE96" s="12" t="n">
        <v>1</v>
      </c>
      <c r="AF96" s="12" t="n">
        <v>1</v>
      </c>
      <c r="AG96" s="12" t="n">
        <v>1</v>
      </c>
      <c r="AH96" s="12" t="n">
        <v>3</v>
      </c>
      <c r="AI96" s="12" t="n">
        <v>2</v>
      </c>
      <c r="AJ96" s="12" t="n">
        <v>2</v>
      </c>
      <c r="AK96" s="12" t="n">
        <v>2</v>
      </c>
      <c r="AL96" s="12" t="n">
        <v>1</v>
      </c>
      <c r="AM96" s="12"/>
      <c r="AN96" s="12" t="n">
        <v>0</v>
      </c>
      <c r="AO96" s="12"/>
      <c r="AP96" s="12"/>
      <c r="AQ96" s="12" t="n">
        <v>0</v>
      </c>
      <c r="AR96" s="12"/>
      <c r="AS96" s="12" t="n">
        <v>0</v>
      </c>
      <c r="AT96" s="12" t="s">
        <v>73</v>
      </c>
      <c r="AU96" s="12" t="s">
        <v>95</v>
      </c>
      <c r="AV96" s="12" t="s">
        <v>729</v>
      </c>
    </row>
    <row r="97" customFormat="false" ht="15" hidden="false" customHeight="false" outlineLevel="0" collapsed="false">
      <c r="A97" s="7" t="s">
        <v>730</v>
      </c>
      <c r="B97" s="8" t="s">
        <v>731</v>
      </c>
      <c r="C97" s="7" t="s">
        <v>78</v>
      </c>
      <c r="D97" s="9" t="n">
        <v>38044</v>
      </c>
      <c r="E97" s="7" t="n">
        <f aca="false">DATEDIF(D97,'Chú giải'!$B$3,"Y")</f>
        <v>22</v>
      </c>
      <c r="F97" s="8" t="s">
        <v>79</v>
      </c>
      <c r="G97" s="8" t="s">
        <v>457</v>
      </c>
      <c r="H97" s="10" t="s">
        <v>732</v>
      </c>
      <c r="I97" s="8" t="s">
        <v>733</v>
      </c>
      <c r="J97" s="8" t="s">
        <v>734</v>
      </c>
      <c r="K97" s="8" t="s">
        <v>703</v>
      </c>
      <c r="L97" s="8" t="s">
        <v>57</v>
      </c>
      <c r="M97" s="7" t="s">
        <v>58</v>
      </c>
      <c r="N97" s="7" t="s">
        <v>59</v>
      </c>
      <c r="O97" s="7" t="s">
        <v>60</v>
      </c>
      <c r="P97" s="7" t="n">
        <v>3</v>
      </c>
      <c r="Q97" s="11" t="n">
        <v>3.5</v>
      </c>
      <c r="R97" s="11" t="n">
        <v>4</v>
      </c>
      <c r="S97" s="8"/>
      <c r="T97" s="9" t="n">
        <v>46338</v>
      </c>
      <c r="U97" s="7" t="n">
        <v>6</v>
      </c>
      <c r="V97" s="7" t="n">
        <v>3</v>
      </c>
      <c r="W97" s="7" t="n">
        <v>2</v>
      </c>
      <c r="X97" s="7" t="n">
        <v>1</v>
      </c>
      <c r="Y97" s="7" t="n">
        <v>3</v>
      </c>
      <c r="Z97" s="7" t="n">
        <v>1</v>
      </c>
      <c r="AA97" s="7" t="n">
        <v>1</v>
      </c>
      <c r="AB97" s="7" t="n">
        <v>2</v>
      </c>
      <c r="AC97" s="7" t="n">
        <v>2</v>
      </c>
      <c r="AD97" s="7" t="n">
        <v>2</v>
      </c>
      <c r="AE97" s="7" t="n">
        <v>1</v>
      </c>
      <c r="AF97" s="7" t="n">
        <v>1</v>
      </c>
      <c r="AG97" s="7" t="n">
        <v>1</v>
      </c>
      <c r="AH97" s="7" t="n">
        <v>3</v>
      </c>
      <c r="AI97" s="7" t="n">
        <v>1</v>
      </c>
      <c r="AJ97" s="7" t="n">
        <v>3</v>
      </c>
      <c r="AK97" s="7" t="n">
        <v>3</v>
      </c>
      <c r="AL97" s="7" t="n">
        <v>1</v>
      </c>
      <c r="AM97" s="7" t="n">
        <v>98</v>
      </c>
      <c r="AN97" s="7" t="n">
        <v>9</v>
      </c>
      <c r="AO97" s="7" t="n">
        <v>86</v>
      </c>
      <c r="AP97" s="7" t="n">
        <v>3.7</v>
      </c>
      <c r="AQ97" s="7" t="n">
        <v>2</v>
      </c>
      <c r="AR97" s="7" t="n">
        <v>4.6</v>
      </c>
      <c r="AS97" s="7" t="n">
        <v>0</v>
      </c>
      <c r="AT97" s="7" t="s">
        <v>62</v>
      </c>
      <c r="AU97" s="7"/>
      <c r="AV97" s="7"/>
    </row>
    <row r="98" customFormat="false" ht="15" hidden="false" customHeight="false" outlineLevel="0" collapsed="false">
      <c r="A98" s="7" t="s">
        <v>735</v>
      </c>
      <c r="B98" s="8" t="s">
        <v>736</v>
      </c>
      <c r="C98" s="7" t="s">
        <v>78</v>
      </c>
      <c r="D98" s="9" t="n">
        <v>38048</v>
      </c>
      <c r="E98" s="7" t="n">
        <f aca="false">DATEDIF(D98,'Chú giải'!$B$3,"Y")</f>
        <v>22</v>
      </c>
      <c r="F98" s="8" t="s">
        <v>79</v>
      </c>
      <c r="G98" s="8" t="s">
        <v>737</v>
      </c>
      <c r="H98" s="10" t="s">
        <v>738</v>
      </c>
      <c r="I98" s="8" t="s">
        <v>739</v>
      </c>
      <c r="J98" s="8" t="s">
        <v>740</v>
      </c>
      <c r="K98" s="8" t="s">
        <v>593</v>
      </c>
      <c r="L98" s="8" t="s">
        <v>104</v>
      </c>
      <c r="M98" s="7" t="s">
        <v>211</v>
      </c>
      <c r="N98" s="7" t="s">
        <v>60</v>
      </c>
      <c r="O98" s="7" t="s">
        <v>60</v>
      </c>
      <c r="P98" s="7" t="n">
        <v>6</v>
      </c>
      <c r="Q98" s="11" t="n">
        <v>3.5</v>
      </c>
      <c r="R98" s="11" t="n">
        <v>4</v>
      </c>
      <c r="S98" s="8" t="s">
        <v>741</v>
      </c>
      <c r="T98" s="9" t="n">
        <v>46359</v>
      </c>
      <c r="U98" s="7" t="n">
        <v>12</v>
      </c>
      <c r="V98" s="7" t="n">
        <v>3</v>
      </c>
      <c r="W98" s="7" t="n">
        <v>3</v>
      </c>
      <c r="X98" s="7" t="n">
        <v>1</v>
      </c>
      <c r="Y98" s="7" t="n">
        <v>2</v>
      </c>
      <c r="Z98" s="7" t="n">
        <v>3</v>
      </c>
      <c r="AA98" s="7" t="n">
        <v>3</v>
      </c>
      <c r="AB98" s="7" t="n">
        <v>2</v>
      </c>
      <c r="AC98" s="7" t="n">
        <v>4</v>
      </c>
      <c r="AD98" s="7" t="n">
        <v>1</v>
      </c>
      <c r="AE98" s="7" t="n">
        <v>1</v>
      </c>
      <c r="AF98" s="7" t="n">
        <v>1</v>
      </c>
      <c r="AG98" s="7" t="n">
        <v>1</v>
      </c>
      <c r="AH98" s="7" t="n">
        <v>1</v>
      </c>
      <c r="AI98" s="7" t="n">
        <v>2</v>
      </c>
      <c r="AJ98" s="7" t="n">
        <v>4</v>
      </c>
      <c r="AK98" s="7" t="n">
        <v>2</v>
      </c>
      <c r="AL98" s="7" t="n">
        <v>1</v>
      </c>
      <c r="AM98" s="7" t="n">
        <v>97</v>
      </c>
      <c r="AN98" s="7" t="n">
        <v>12</v>
      </c>
      <c r="AO98" s="7" t="n">
        <v>58</v>
      </c>
      <c r="AP98" s="7" t="n">
        <v>4.1</v>
      </c>
      <c r="AQ98" s="7" t="n">
        <v>1</v>
      </c>
      <c r="AR98" s="7" t="n">
        <v>4.8</v>
      </c>
      <c r="AS98" s="7" t="n">
        <v>0</v>
      </c>
      <c r="AT98" s="7" t="s">
        <v>62</v>
      </c>
      <c r="AU98" s="7"/>
      <c r="AV98" s="7"/>
    </row>
    <row r="99" customFormat="false" ht="15" hidden="false" customHeight="false" outlineLevel="0" collapsed="false">
      <c r="A99" s="7" t="s">
        <v>742</v>
      </c>
      <c r="B99" s="8" t="s">
        <v>743</v>
      </c>
      <c r="C99" s="7" t="s">
        <v>50</v>
      </c>
      <c r="D99" s="9" t="n">
        <v>38127</v>
      </c>
      <c r="E99" s="7" t="n">
        <f aca="false">DATEDIF(D99,'Chú giải'!$B$3,"Y")</f>
        <v>22</v>
      </c>
      <c r="F99" s="8" t="s">
        <v>79</v>
      </c>
      <c r="G99" s="8" t="s">
        <v>744</v>
      </c>
      <c r="H99" s="10" t="s">
        <v>745</v>
      </c>
      <c r="I99" s="8" t="s">
        <v>746</v>
      </c>
      <c r="J99" s="8" t="s">
        <v>747</v>
      </c>
      <c r="K99" s="8" t="s">
        <v>308</v>
      </c>
      <c r="L99" s="8" t="s">
        <v>129</v>
      </c>
      <c r="M99" s="7" t="s">
        <v>72</v>
      </c>
      <c r="N99" s="7" t="s">
        <v>59</v>
      </c>
      <c r="O99" s="7" t="s">
        <v>60</v>
      </c>
      <c r="P99" s="7" t="n">
        <v>6</v>
      </c>
      <c r="Q99" s="11" t="n">
        <v>2</v>
      </c>
      <c r="R99" s="11" t="n">
        <v>3</v>
      </c>
      <c r="S99" s="8" t="s">
        <v>748</v>
      </c>
      <c r="T99" s="9" t="n">
        <v>46363</v>
      </c>
      <c r="U99" s="7" t="n">
        <v>3</v>
      </c>
      <c r="V99" s="7" t="n">
        <v>3</v>
      </c>
      <c r="W99" s="7" t="n">
        <v>3</v>
      </c>
      <c r="X99" s="7" t="n">
        <v>1</v>
      </c>
      <c r="Y99" s="7" t="n">
        <v>1</v>
      </c>
      <c r="Z99" s="7" t="n">
        <v>3</v>
      </c>
      <c r="AA99" s="7" t="n">
        <v>4</v>
      </c>
      <c r="AB99" s="7" t="n">
        <v>3</v>
      </c>
      <c r="AC99" s="7" t="n">
        <v>2</v>
      </c>
      <c r="AD99" s="7" t="n">
        <v>1</v>
      </c>
      <c r="AE99" s="7" t="n">
        <v>2</v>
      </c>
      <c r="AF99" s="7" t="n">
        <v>1</v>
      </c>
      <c r="AG99" s="7" t="n">
        <v>1</v>
      </c>
      <c r="AH99" s="7" t="n">
        <v>1</v>
      </c>
      <c r="AI99" s="7" t="n">
        <v>2</v>
      </c>
      <c r="AJ99" s="7" t="n">
        <v>4</v>
      </c>
      <c r="AK99" s="7" t="n">
        <v>2</v>
      </c>
      <c r="AL99" s="7" t="n">
        <v>4</v>
      </c>
      <c r="AM99" s="7"/>
      <c r="AN99" s="7" t="n">
        <v>0</v>
      </c>
      <c r="AO99" s="7"/>
      <c r="AP99" s="7"/>
      <c r="AQ99" s="7" t="n">
        <v>0</v>
      </c>
      <c r="AR99" s="7"/>
      <c r="AS99" s="7" t="n">
        <v>0</v>
      </c>
      <c r="AT99" s="7" t="s">
        <v>62</v>
      </c>
      <c r="AU99" s="7"/>
      <c r="AV99" s="7"/>
    </row>
    <row r="100" customFormat="false" ht="15" hidden="false" customHeight="false" outlineLevel="0" collapsed="false">
      <c r="A100" s="7" t="s">
        <v>749</v>
      </c>
      <c r="B100" s="8" t="s">
        <v>750</v>
      </c>
      <c r="C100" s="7" t="s">
        <v>78</v>
      </c>
      <c r="D100" s="9" t="n">
        <v>39214</v>
      </c>
      <c r="E100" s="7" t="n">
        <f aca="false">DATEDIF(D100,'Chú giải'!$B$3,"Y")</f>
        <v>19</v>
      </c>
      <c r="F100" s="8" t="s">
        <v>51</v>
      </c>
      <c r="G100" s="8" t="s">
        <v>744</v>
      </c>
      <c r="H100" s="10" t="s">
        <v>751</v>
      </c>
      <c r="I100" s="8" t="s">
        <v>752</v>
      </c>
      <c r="J100" s="8" t="s">
        <v>753</v>
      </c>
      <c r="K100" s="8" t="s">
        <v>754</v>
      </c>
      <c r="L100" s="8" t="s">
        <v>104</v>
      </c>
      <c r="M100" s="7" t="s">
        <v>211</v>
      </c>
      <c r="N100" s="7" t="s">
        <v>60</v>
      </c>
      <c r="O100" s="7" t="s">
        <v>60</v>
      </c>
      <c r="P100" s="7" t="n">
        <v>4</v>
      </c>
      <c r="Q100" s="11" t="n">
        <v>2.5</v>
      </c>
      <c r="R100" s="11" t="n">
        <v>3.5</v>
      </c>
      <c r="S100" s="8" t="s">
        <v>755</v>
      </c>
      <c r="T100" s="9" t="n">
        <v>46359</v>
      </c>
      <c r="U100" s="7" t="n">
        <v>6</v>
      </c>
      <c r="V100" s="7" t="n">
        <v>6</v>
      </c>
      <c r="W100" s="7" t="n">
        <v>3</v>
      </c>
      <c r="X100" s="7" t="n">
        <v>1</v>
      </c>
      <c r="Y100" s="7" t="n">
        <v>3</v>
      </c>
      <c r="Z100" s="7" t="n">
        <v>1</v>
      </c>
      <c r="AA100" s="7" t="n">
        <v>1</v>
      </c>
      <c r="AB100" s="7" t="n">
        <v>2</v>
      </c>
      <c r="AC100" s="7" t="n">
        <v>3</v>
      </c>
      <c r="AD100" s="7" t="n">
        <v>1</v>
      </c>
      <c r="AE100" s="7" t="n">
        <v>1</v>
      </c>
      <c r="AF100" s="7" t="n">
        <v>1</v>
      </c>
      <c r="AG100" s="7" t="n">
        <v>1</v>
      </c>
      <c r="AH100" s="7" t="n">
        <v>4</v>
      </c>
      <c r="AI100" s="7" t="n">
        <v>1</v>
      </c>
      <c r="AJ100" s="7" t="n">
        <v>1</v>
      </c>
      <c r="AK100" s="7" t="n">
        <v>2</v>
      </c>
      <c r="AL100" s="7" t="n">
        <v>4</v>
      </c>
      <c r="AM100" s="7" t="n">
        <v>88</v>
      </c>
      <c r="AN100" s="7" t="n">
        <v>3</v>
      </c>
      <c r="AO100" s="7" t="n">
        <v>96</v>
      </c>
      <c r="AP100" s="7" t="n">
        <v>4.9</v>
      </c>
      <c r="AQ100" s="7" t="n">
        <v>1</v>
      </c>
      <c r="AR100" s="7" t="n">
        <v>4</v>
      </c>
      <c r="AS100" s="7" t="n">
        <v>0</v>
      </c>
      <c r="AT100" s="7" t="s">
        <v>62</v>
      </c>
      <c r="AU100" s="7"/>
      <c r="AV100" s="7"/>
    </row>
    <row r="101" customFormat="false" ht="15" hidden="false" customHeight="false" outlineLevel="0" collapsed="false">
      <c r="A101" s="7" t="s">
        <v>756</v>
      </c>
      <c r="B101" s="8" t="s">
        <v>757</v>
      </c>
      <c r="C101" s="7" t="s">
        <v>78</v>
      </c>
      <c r="D101" s="9" t="n">
        <v>37037</v>
      </c>
      <c r="E101" s="7" t="n">
        <f aca="false">DATEDIF(D101,'Chú giải'!$B$3,"Y")</f>
        <v>25</v>
      </c>
      <c r="F101" s="8" t="s">
        <v>320</v>
      </c>
      <c r="G101" s="8" t="s">
        <v>248</v>
      </c>
      <c r="H101" s="10" t="s">
        <v>758</v>
      </c>
      <c r="I101" s="8" t="s">
        <v>759</v>
      </c>
      <c r="J101" s="8" t="s">
        <v>760</v>
      </c>
      <c r="K101" s="8" t="s">
        <v>235</v>
      </c>
      <c r="L101" s="8" t="s">
        <v>149</v>
      </c>
      <c r="M101" s="7" t="s">
        <v>58</v>
      </c>
      <c r="N101" s="7" t="s">
        <v>60</v>
      </c>
      <c r="O101" s="7" t="s">
        <v>60</v>
      </c>
      <c r="P101" s="7" t="n">
        <v>6</v>
      </c>
      <c r="Q101" s="11" t="n">
        <v>4</v>
      </c>
      <c r="R101" s="11" t="n">
        <v>5.5</v>
      </c>
      <c r="S101" s="8" t="s">
        <v>755</v>
      </c>
      <c r="T101" s="9" t="n">
        <v>46339</v>
      </c>
      <c r="U101" s="7" t="n">
        <v>12</v>
      </c>
      <c r="V101" s="7" t="n">
        <v>3</v>
      </c>
      <c r="W101" s="7" t="n">
        <v>2</v>
      </c>
      <c r="X101" s="7" t="n">
        <v>1</v>
      </c>
      <c r="Y101" s="7" t="n">
        <v>4</v>
      </c>
      <c r="Z101" s="7" t="n">
        <v>4</v>
      </c>
      <c r="AA101" s="7" t="n">
        <v>4</v>
      </c>
      <c r="AB101" s="7" t="n">
        <v>1</v>
      </c>
      <c r="AC101" s="7" t="n">
        <v>2</v>
      </c>
      <c r="AD101" s="7" t="n">
        <v>3</v>
      </c>
      <c r="AE101" s="7" t="n">
        <v>2</v>
      </c>
      <c r="AF101" s="7" t="n">
        <v>1</v>
      </c>
      <c r="AG101" s="7" t="n">
        <v>1</v>
      </c>
      <c r="AH101" s="7" t="n">
        <v>3</v>
      </c>
      <c r="AI101" s="7" t="n">
        <v>3</v>
      </c>
      <c r="AJ101" s="7" t="n">
        <v>1</v>
      </c>
      <c r="AK101" s="7" t="n">
        <v>1</v>
      </c>
      <c r="AL101" s="7" t="n">
        <v>2</v>
      </c>
      <c r="AM101" s="7"/>
      <c r="AN101" s="7" t="n">
        <v>0</v>
      </c>
      <c r="AO101" s="7"/>
      <c r="AP101" s="7"/>
      <c r="AQ101" s="7" t="n">
        <v>0</v>
      </c>
      <c r="AR101" s="7"/>
      <c r="AS101" s="7" t="n">
        <v>0</v>
      </c>
      <c r="AT101" s="7" t="s">
        <v>62</v>
      </c>
      <c r="AU101" s="7"/>
      <c r="AV101" s="7"/>
    </row>
  </sheetData>
  <autoFilter ref="A1:AV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1"/>
    <col collapsed="false" customWidth="true" hidden="false" outlineLevel="0" max="4" min="4" style="0" width="24"/>
    <col collapsed="false" customWidth="true" hidden="false" outlineLevel="0" max="5" min="5" style="0" width="11"/>
    <col collapsed="false" customWidth="true" hidden="false" outlineLevel="0" max="6" min="6" style="0" width="24"/>
    <col collapsed="false" customWidth="true" hidden="false" outlineLevel="0" max="7" min="7" style="0" width="52"/>
    <col collapsed="false" customWidth="true" hidden="false" outlineLevel="0" max="8" min="8" style="0" width="62"/>
    <col collapsed="false" customWidth="true" hidden="false" outlineLevel="0" max="9" min="9" style="0" width="30"/>
  </cols>
  <sheetData>
    <row r="1" customFormat="false" ht="30" hidden="false" customHeight="true" outlineLevel="0" collapsed="false">
      <c r="A1" s="1" t="s">
        <v>761</v>
      </c>
      <c r="B1" s="1" t="s">
        <v>762</v>
      </c>
      <c r="C1" s="1" t="s">
        <v>763</v>
      </c>
      <c r="D1" s="1" t="s">
        <v>764</v>
      </c>
      <c r="E1" s="1" t="s">
        <v>765</v>
      </c>
      <c r="F1" s="1" t="s">
        <v>766</v>
      </c>
      <c r="G1" s="1" t="s">
        <v>767</v>
      </c>
      <c r="H1" s="1" t="s">
        <v>768</v>
      </c>
      <c r="I1" s="1" t="s">
        <v>769</v>
      </c>
    </row>
    <row r="2" customFormat="false" ht="23.85" hidden="false" customHeight="false" outlineLevel="0" collapsed="false">
      <c r="A2" s="17" t="s">
        <v>155</v>
      </c>
      <c r="B2" s="18" t="s">
        <v>770</v>
      </c>
      <c r="C2" s="17" t="s">
        <v>150</v>
      </c>
      <c r="D2" s="18" t="str">
        <f aca="false">INDEX('Hồ sơ'!$B$2:$B$101,MATCH(C2,'Hồ sơ'!$A$2:$A$101,0))</f>
        <v>Đỗ Khánh Hương</v>
      </c>
      <c r="E2" s="17" t="s">
        <v>624</v>
      </c>
      <c r="F2" s="18" t="str">
        <f aca="false">INDEX('Hồ sơ'!$B$2:$B$101,MATCH(E2,'Hồ sơ'!$A$2:$A$101,0))</f>
        <v>Đinh Hoài Lan</v>
      </c>
      <c r="G2" s="18" t="s">
        <v>771</v>
      </c>
      <c r="H2" s="19" t="s">
        <v>772</v>
      </c>
      <c r="I2" s="18" t="s">
        <v>773</v>
      </c>
    </row>
    <row r="3" customFormat="false" ht="15" hidden="false" customHeight="false" outlineLevel="0" collapsed="false">
      <c r="A3" s="17" t="s">
        <v>394</v>
      </c>
      <c r="B3" s="18" t="s">
        <v>774</v>
      </c>
      <c r="C3" s="17" t="s">
        <v>388</v>
      </c>
      <c r="D3" s="18" t="str">
        <f aca="false">INDEX('Hồ sơ'!$B$2:$B$101,MATCH(C3,'Hồ sơ'!$A$2:$A$101,0))</f>
        <v>Nguyễn Minh Bách</v>
      </c>
      <c r="E3" s="17" t="s">
        <v>505</v>
      </c>
      <c r="F3" s="18" t="str">
        <f aca="false">INDEX('Hồ sơ'!$B$2:$B$101,MATCH(E3,'Hồ sơ'!$A$2:$A$101,0))</f>
        <v>Vũ Quỳnh Giang</v>
      </c>
      <c r="G3" s="18" t="s">
        <v>775</v>
      </c>
      <c r="H3" s="20" t="s">
        <v>776</v>
      </c>
      <c r="I3" s="18" t="s">
        <v>777</v>
      </c>
    </row>
    <row r="4" customFormat="false" ht="15" hidden="false" customHeight="false" outlineLevel="0" collapsed="false">
      <c r="A4" s="17" t="s">
        <v>363</v>
      </c>
      <c r="B4" s="18" t="s">
        <v>778</v>
      </c>
      <c r="C4" s="17" t="s">
        <v>558</v>
      </c>
      <c r="D4" s="18" t="str">
        <f aca="false">INDEX('Hồ sơ'!$B$2:$B$101,MATCH(C4,'Hồ sơ'!$A$2:$A$101,0))</f>
        <v>Trần Tuấn Khoa</v>
      </c>
      <c r="E4" s="17" t="s">
        <v>357</v>
      </c>
      <c r="F4" s="18" t="str">
        <f aca="false">INDEX('Hồ sơ'!$B$2:$B$101,MATCH(E4,'Hồ sơ'!$A$2:$A$101,0))</f>
        <v>Nguyễn Phương Ngọc</v>
      </c>
      <c r="G4" s="18" t="s">
        <v>779</v>
      </c>
      <c r="H4" s="20" t="s">
        <v>780</v>
      </c>
      <c r="I4" s="18" t="s">
        <v>777</v>
      </c>
    </row>
    <row r="5" customFormat="false" ht="15" hidden="false" customHeight="false" outlineLevel="0" collapsed="false">
      <c r="A5" s="17" t="s">
        <v>476</v>
      </c>
      <c r="B5" s="18" t="s">
        <v>781</v>
      </c>
      <c r="C5" s="17" t="s">
        <v>469</v>
      </c>
      <c r="D5" s="18" t="str">
        <f aca="false">INDEX('Hồ sơ'!$B$2:$B$101,MATCH(C5,'Hồ sơ'!$A$2:$A$101,0))</f>
        <v>Lê Văn Minh</v>
      </c>
      <c r="E5" s="17" t="s">
        <v>607</v>
      </c>
      <c r="F5" s="18" t="str">
        <f aca="false">INDEX('Hồ sơ'!$B$2:$B$101,MATCH(E5,'Hồ sơ'!$A$2:$A$101,0))</f>
        <v>Lê Thanh Ngọc</v>
      </c>
      <c r="G5" s="18" t="s">
        <v>782</v>
      </c>
      <c r="H5" s="20" t="s">
        <v>783</v>
      </c>
      <c r="I5" s="18" t="s">
        <v>777</v>
      </c>
    </row>
    <row r="6" customFormat="false" ht="15" hidden="false" customHeight="false" outlineLevel="0" collapsed="false">
      <c r="A6" s="17" t="s">
        <v>139</v>
      </c>
      <c r="B6" s="18" t="s">
        <v>784</v>
      </c>
      <c r="C6" s="17" t="s">
        <v>462</v>
      </c>
      <c r="D6" s="18" t="str">
        <f aca="false">INDEX('Hồ sơ'!$B$2:$B$101,MATCH(C6,'Hồ sơ'!$A$2:$A$101,0))</f>
        <v>Nguyễn Văn Tài</v>
      </c>
      <c r="E6" s="17" t="s">
        <v>132</v>
      </c>
      <c r="F6" s="18" t="str">
        <f aca="false">INDEX('Hồ sơ'!$B$2:$B$101,MATCH(E6,'Hồ sơ'!$A$2:$A$101,0))</f>
        <v>Nguyễn Hồng Yến</v>
      </c>
      <c r="G6" s="18" t="s">
        <v>785</v>
      </c>
      <c r="H6" s="19" t="s">
        <v>786</v>
      </c>
      <c r="I6" s="18" t="s">
        <v>777</v>
      </c>
    </row>
    <row r="7" customFormat="false" ht="15" hidden="false" customHeight="false" outlineLevel="0" collapsed="false">
      <c r="A7" s="17" t="s">
        <v>236</v>
      </c>
      <c r="B7" s="18" t="s">
        <v>787</v>
      </c>
      <c r="C7" s="17" t="s">
        <v>228</v>
      </c>
      <c r="D7" s="18" t="str">
        <f aca="false">INDEX('Hồ sơ'!$B$2:$B$101,MATCH(C7,'Hồ sơ'!$A$2:$A$101,0))</f>
        <v>Nguyễn Công Dũng</v>
      </c>
      <c r="E7" s="17" t="s">
        <v>680</v>
      </c>
      <c r="F7" s="18" t="str">
        <f aca="false">INDEX('Hồ sơ'!$B$2:$B$101,MATCH(E7,'Hồ sơ'!$A$2:$A$101,0))</f>
        <v>Đỗ Công Hoàng</v>
      </c>
      <c r="G7" s="18" t="s">
        <v>788</v>
      </c>
      <c r="H7" s="20" t="s">
        <v>789</v>
      </c>
      <c r="I7" s="18" t="s">
        <v>790</v>
      </c>
    </row>
    <row r="8" customFormat="false" ht="15" hidden="false" customHeight="false" outlineLevel="0" collapsed="false">
      <c r="A8" s="17" t="s">
        <v>439</v>
      </c>
      <c r="B8" s="18" t="s">
        <v>791</v>
      </c>
      <c r="C8" s="17" t="s">
        <v>434</v>
      </c>
      <c r="D8" s="18" t="str">
        <f aca="false">INDEX('Hồ sơ'!$B$2:$B$101,MATCH(C8,'Hồ sơ'!$A$2:$A$101,0))</f>
        <v>Nguyễn Hồng Hà</v>
      </c>
      <c r="E8" s="17" t="s">
        <v>601</v>
      </c>
      <c r="F8" s="18" t="str">
        <f aca="false">INDEX('Hồ sơ'!$B$2:$B$101,MATCH(E8,'Hồ sơ'!$A$2:$A$101,0))</f>
        <v>Nguyễn Minh Anh</v>
      </c>
      <c r="G8" s="18" t="s">
        <v>792</v>
      </c>
      <c r="H8" s="19" t="s">
        <v>793</v>
      </c>
      <c r="I8" s="18" t="s">
        <v>790</v>
      </c>
    </row>
    <row r="9" customFormat="false" ht="15" hidden="false" customHeight="false" outlineLevel="0" collapsed="false">
      <c r="A9" s="17" t="s">
        <v>446</v>
      </c>
      <c r="B9" s="18" t="s">
        <v>794</v>
      </c>
      <c r="C9" s="17" t="s">
        <v>441</v>
      </c>
      <c r="D9" s="18" t="str">
        <f aca="false">INDEX('Hồ sơ'!$B$2:$B$101,MATCH(C9,'Hồ sơ'!$A$2:$A$101,0))</f>
        <v>Phan Bảo Lan</v>
      </c>
      <c r="E9" s="17" t="s">
        <v>552</v>
      </c>
      <c r="F9" s="18" t="str">
        <f aca="false">INDEX('Hồ sơ'!$B$2:$B$101,MATCH(E9,'Hồ sơ'!$A$2:$A$101,0))</f>
        <v>Hà Minh Hiền</v>
      </c>
      <c r="G9" s="18" t="s">
        <v>795</v>
      </c>
      <c r="H9" s="20" t="s">
        <v>796</v>
      </c>
      <c r="I9" s="18" t="s">
        <v>797</v>
      </c>
    </row>
    <row r="10" customFormat="false" ht="15" hidden="false" customHeight="false" outlineLevel="0" collapsed="false">
      <c r="A10" s="17" t="s">
        <v>376</v>
      </c>
      <c r="B10" s="18" t="s">
        <v>798</v>
      </c>
      <c r="C10" s="17" t="s">
        <v>428</v>
      </c>
      <c r="D10" s="18" t="str">
        <f aca="false">INDEX('Hồ sơ'!$B$2:$B$101,MATCH(C10,'Hồ sơ'!$A$2:$A$101,0))</f>
        <v>Võ Đức Tiến</v>
      </c>
      <c r="E10" s="17" t="s">
        <v>371</v>
      </c>
      <c r="F10" s="18" t="str">
        <f aca="false">INDEX('Hồ sơ'!$B$2:$B$101,MATCH(E10,'Hồ sơ'!$A$2:$A$101,0))</f>
        <v>Vũ Việt Dũng</v>
      </c>
      <c r="G10" s="18" t="s">
        <v>799</v>
      </c>
      <c r="H10" s="20" t="s">
        <v>800</v>
      </c>
      <c r="I10" s="18" t="s">
        <v>801</v>
      </c>
    </row>
    <row r="11" customFormat="false" ht="15" hidden="false" customHeight="false" outlineLevel="0" collapsed="false">
      <c r="A11" s="17" t="s">
        <v>309</v>
      </c>
      <c r="B11" s="18" t="s">
        <v>802</v>
      </c>
      <c r="C11" s="17" t="s">
        <v>686</v>
      </c>
      <c r="D11" s="18" t="str">
        <f aca="false">INDEX('Hồ sơ'!$B$2:$B$101,MATCH(C11,'Hồ sơ'!$A$2:$A$101,0))</f>
        <v>Bùi Phương My</v>
      </c>
      <c r="E11" s="17" t="s">
        <v>303</v>
      </c>
      <c r="F11" s="18" t="str">
        <f aca="false">INDEX('Hồ sơ'!$B$2:$B$101,MATCH(E11,'Hồ sơ'!$A$2:$A$101,0))</f>
        <v>Lương Ngọc Nhung</v>
      </c>
      <c r="G11" s="18" t="s">
        <v>803</v>
      </c>
      <c r="H11" s="20" t="s">
        <v>804</v>
      </c>
      <c r="I11" s="18" t="s">
        <v>805</v>
      </c>
    </row>
    <row r="12" customFormat="false" ht="15" hidden="false" customHeight="false" outlineLevel="0" collapsed="false">
      <c r="A12" s="17" t="s">
        <v>130</v>
      </c>
      <c r="B12" s="18" t="s">
        <v>806</v>
      </c>
      <c r="C12" s="17" t="s">
        <v>165</v>
      </c>
      <c r="D12" s="18" t="str">
        <f aca="false">INDEX('Hồ sơ'!$B$2:$B$101,MATCH(C12,'Hồ sơ'!$A$2:$A$101,0))</f>
        <v>Đỗ Minh Bách</v>
      </c>
      <c r="E12" s="17" t="s">
        <v>123</v>
      </c>
      <c r="F12" s="18" t="str">
        <f aca="false">INDEX('Hồ sơ'!$B$2:$B$101,MATCH(E12,'Hồ sơ'!$A$2:$A$101,0))</f>
        <v>Lê Thành Thịnh</v>
      </c>
      <c r="G12" s="18" t="s">
        <v>807</v>
      </c>
      <c r="H12" s="19" t="s">
        <v>808</v>
      </c>
      <c r="I12" s="18" t="s">
        <v>805</v>
      </c>
    </row>
    <row r="13" customFormat="false" ht="15" hidden="false" customHeight="false" outlineLevel="0" collapsed="false">
      <c r="A13" s="17" t="s">
        <v>522</v>
      </c>
      <c r="B13" s="18" t="s">
        <v>809</v>
      </c>
      <c r="C13" s="17" t="s">
        <v>674</v>
      </c>
      <c r="D13" s="18" t="str">
        <f aca="false">INDEX('Hồ sơ'!$B$2:$B$101,MATCH(C13,'Hồ sơ'!$A$2:$A$101,0))</f>
        <v>Nguyễn Quang Phong</v>
      </c>
      <c r="E13" s="17" t="s">
        <v>517</v>
      </c>
      <c r="F13" s="18" t="str">
        <f aca="false">INDEX('Hồ sơ'!$B$2:$B$101,MATCH(E13,'Hồ sơ'!$A$2:$A$101,0))</f>
        <v>Trần Công Sơn</v>
      </c>
      <c r="G13" s="18" t="s">
        <v>810</v>
      </c>
      <c r="H13" s="20" t="s">
        <v>811</v>
      </c>
      <c r="I13" s="18" t="s">
        <v>812</v>
      </c>
    </row>
    <row r="14" customFormat="false" ht="15" hidden="false" customHeight="false" outlineLevel="0" collapsed="false">
      <c r="A14" s="17" t="s">
        <v>74</v>
      </c>
      <c r="B14" s="18" t="s">
        <v>813</v>
      </c>
      <c r="C14" s="17" t="s">
        <v>651</v>
      </c>
      <c r="D14" s="18" t="str">
        <f aca="false">INDEX('Hồ sơ'!$B$2:$B$101,MATCH(C14,'Hồ sơ'!$A$2:$A$101,0))</f>
        <v>Lê Hoài Tâm</v>
      </c>
      <c r="E14" s="17" t="s">
        <v>63</v>
      </c>
      <c r="F14" s="18" t="str">
        <f aca="false">INDEX('Hồ sơ'!$B$2:$B$101,MATCH(E14,'Hồ sơ'!$A$2:$A$101,0))</f>
        <v>Đỗ Bảo Anh</v>
      </c>
      <c r="G14" s="18" t="s">
        <v>814</v>
      </c>
      <c r="H14" s="20" t="s">
        <v>815</v>
      </c>
      <c r="I14" s="18" t="s">
        <v>816</v>
      </c>
    </row>
    <row r="15" customFormat="false" ht="15" hidden="false" customHeight="false" outlineLevel="0" collapsed="false">
      <c r="A15" s="17" t="s">
        <v>503</v>
      </c>
      <c r="B15" s="18" t="s">
        <v>817</v>
      </c>
      <c r="C15" s="17" t="s">
        <v>498</v>
      </c>
      <c r="D15" s="18" t="str">
        <f aca="false">INDEX('Hồ sơ'!$B$2:$B$101,MATCH(C15,'Hồ sơ'!$A$2:$A$101,0))</f>
        <v>Lê Văn Thịnh</v>
      </c>
      <c r="E15" s="17" t="s">
        <v>511</v>
      </c>
      <c r="F15" s="18" t="str">
        <f aca="false">INDEX('Hồ sơ'!$B$2:$B$101,MATCH(E15,'Hồ sơ'!$A$2:$A$101,0))</f>
        <v>Lê Anh Vinh</v>
      </c>
      <c r="G15" s="18" t="s">
        <v>818</v>
      </c>
      <c r="H15" s="20" t="s">
        <v>819</v>
      </c>
      <c r="I15" s="18" t="s">
        <v>820</v>
      </c>
    </row>
    <row r="16" customFormat="false" ht="15" hidden="false" customHeight="false" outlineLevel="0" collapsed="false">
      <c r="A16" s="17" t="s">
        <v>490</v>
      </c>
      <c r="B16" s="18" t="s">
        <v>821</v>
      </c>
      <c r="C16" s="17" t="s">
        <v>576</v>
      </c>
      <c r="D16" s="18" t="str">
        <f aca="false">INDEX('Hồ sơ'!$B$2:$B$101,MATCH(C16,'Hồ sơ'!$A$2:$A$101,0))</f>
        <v>Đỗ Hồng Ngọc</v>
      </c>
      <c r="E16" s="17" t="s">
        <v>485</v>
      </c>
      <c r="F16" s="18" t="str">
        <f aca="false">INDEX('Hồ sơ'!$B$2:$B$101,MATCH(E16,'Hồ sơ'!$A$2:$A$101,0))</f>
        <v>Đoàn Thị Thu</v>
      </c>
      <c r="G16" s="18" t="s">
        <v>822</v>
      </c>
      <c r="H16" s="20" t="s">
        <v>823</v>
      </c>
      <c r="I16" s="18" t="s">
        <v>824</v>
      </c>
    </row>
    <row r="17" customFormat="false" ht="15" hidden="false" customHeight="false" outlineLevel="0" collapsed="false">
      <c r="A17" s="17" t="s">
        <v>176</v>
      </c>
      <c r="B17" s="18" t="s">
        <v>825</v>
      </c>
      <c r="C17" s="17" t="s">
        <v>171</v>
      </c>
      <c r="D17" s="18" t="str">
        <f aca="false">INDEX('Hồ sơ'!$B$2:$B$101,MATCH(C17,'Hồ sơ'!$A$2:$A$101,0))</f>
        <v>Nguyễn Việt Tiến</v>
      </c>
      <c r="E17" s="17" t="s">
        <v>492</v>
      </c>
      <c r="F17" s="18" t="str">
        <f aca="false">INDEX('Hồ sơ'!$B$2:$B$101,MATCH(E17,'Hồ sơ'!$A$2:$A$101,0))</f>
        <v>Trần Việt Sơn</v>
      </c>
      <c r="G17" s="18" t="s">
        <v>826</v>
      </c>
      <c r="H17" s="20" t="s">
        <v>823</v>
      </c>
      <c r="I17" s="18" t="s">
        <v>824</v>
      </c>
    </row>
    <row r="18" customFormat="false" ht="15" hidden="false" customHeight="false" outlineLevel="0" collapsed="false">
      <c r="A18" s="17" t="s">
        <v>219</v>
      </c>
      <c r="B18" s="18" t="s">
        <v>827</v>
      </c>
      <c r="C18" s="17" t="s">
        <v>213</v>
      </c>
      <c r="D18" s="18" t="str">
        <f aca="false">INDEX('Hồ sơ'!$B$2:$B$101,MATCH(C18,'Hồ sơ'!$A$2:$A$101,0))</f>
        <v>Lê Thành Đạt</v>
      </c>
      <c r="E18" s="17" t="s">
        <v>350</v>
      </c>
      <c r="F18" s="18" t="str">
        <f aca="false">INDEX('Hồ sơ'!$B$2:$B$101,MATCH(E18,'Hồ sơ'!$A$2:$A$101,0))</f>
        <v>Phạm Quang Dương</v>
      </c>
      <c r="G18" s="18" t="s">
        <v>828</v>
      </c>
      <c r="H18" s="19" t="s">
        <v>829</v>
      </c>
      <c r="I18" s="18" t="s">
        <v>824</v>
      </c>
    </row>
    <row r="19" customFormat="false" ht="23.85" hidden="false" customHeight="false" outlineLevel="0" collapsed="false">
      <c r="A19" s="17" t="s">
        <v>114</v>
      </c>
      <c r="B19" s="18" t="s">
        <v>830</v>
      </c>
      <c r="C19" s="17" t="s">
        <v>448</v>
      </c>
      <c r="D19" s="18" t="str">
        <f aca="false">INDEX('Hồ sơ'!$B$2:$B$101,MATCH(C19,'Hồ sơ'!$A$2:$A$101,0))</f>
        <v>Nguyễn Minh Huyền</v>
      </c>
      <c r="E19" s="17" t="s">
        <v>107</v>
      </c>
      <c r="F19" s="18" t="str">
        <f aca="false">INDEX('Hồ sơ'!$B$2:$B$101,MATCH(E19,'Hồ sơ'!$A$2:$A$101,0))</f>
        <v>Nguyễn Thanh Hằng</v>
      </c>
      <c r="G19" s="18" t="s">
        <v>831</v>
      </c>
      <c r="H19" s="19" t="s">
        <v>832</v>
      </c>
      <c r="I19" s="18" t="s">
        <v>833</v>
      </c>
    </row>
    <row r="20" customFormat="false" ht="15" hidden="false" customHeight="false" outlineLevel="0" collapsed="false">
      <c r="A20" s="17" t="s">
        <v>95</v>
      </c>
      <c r="B20" s="18" t="s">
        <v>834</v>
      </c>
      <c r="C20" s="17" t="s">
        <v>724</v>
      </c>
      <c r="D20" s="18" t="str">
        <f aca="false">INDEX('Hồ sơ'!$B$2:$B$101,MATCH(C20,'Hồ sơ'!$A$2:$A$101,0))</f>
        <v>Phạm Việt Thắng</v>
      </c>
      <c r="E20" s="17" t="s">
        <v>88</v>
      </c>
      <c r="F20" s="18" t="str">
        <f aca="false">INDEX('Hồ sơ'!$B$2:$B$101,MATCH(E20,'Hồ sơ'!$A$2:$A$101,0))</f>
        <v>Vũ Quốc Tiến</v>
      </c>
      <c r="G20" s="18" t="s">
        <v>835</v>
      </c>
      <c r="H20" s="19" t="s">
        <v>836</v>
      </c>
      <c r="I20" s="18" t="s">
        <v>833</v>
      </c>
    </row>
    <row r="21" customFormat="false" ht="15" hidden="false" customHeight="false" outlineLevel="0" collapsed="false">
      <c r="A21" s="17" t="s">
        <v>278</v>
      </c>
      <c r="B21" s="18" t="s">
        <v>837</v>
      </c>
      <c r="C21" s="17" t="s">
        <v>698</v>
      </c>
      <c r="D21" s="18" t="str">
        <f aca="false">INDEX('Hồ sơ'!$B$2:$B$101,MATCH(C21,'Hồ sơ'!$A$2:$A$101,0))</f>
        <v>Đỗ Thị Tâm</v>
      </c>
      <c r="E21" s="17" t="s">
        <v>272</v>
      </c>
      <c r="F21" s="18" t="str">
        <f aca="false">INDEX('Hồ sơ'!$B$2:$B$101,MATCH(E21,'Hồ sơ'!$A$2:$A$101,0))</f>
        <v>Đặng Ngọc Phương</v>
      </c>
      <c r="G21" s="18" t="s">
        <v>838</v>
      </c>
      <c r="H21" s="19" t="s">
        <v>839</v>
      </c>
      <c r="I21" s="18" t="s">
        <v>833</v>
      </c>
    </row>
    <row r="22" customFormat="false" ht="15" hidden="false" customHeight="false" outlineLevel="0" collapsed="false">
      <c r="A22" s="17" t="s">
        <v>335</v>
      </c>
      <c r="B22" s="18" t="s">
        <v>840</v>
      </c>
      <c r="C22" s="17" t="s">
        <v>330</v>
      </c>
      <c r="D22" s="18" t="str">
        <f aca="false">INDEX('Hồ sơ'!$B$2:$B$101,MATCH(C22,'Hồ sơ'!$A$2:$A$101,0))</f>
        <v>Nguyễn Thanh Giang</v>
      </c>
      <c r="E22" s="17" t="s">
        <v>705</v>
      </c>
      <c r="F22" s="18" t="str">
        <f aca="false">INDEX('Hồ sơ'!$B$2:$B$101,MATCH(E22,'Hồ sơ'!$A$2:$A$101,0))</f>
        <v>Bùi Thanh Trâm</v>
      </c>
      <c r="G22" s="18" t="s">
        <v>841</v>
      </c>
      <c r="H22" s="19" t="s">
        <v>839</v>
      </c>
      <c r="I22" s="18" t="s">
        <v>833</v>
      </c>
    </row>
    <row r="23" customFormat="false" ht="15" hidden="false" customHeight="false" outlineLevel="0" collapsed="false">
      <c r="A23" s="17" t="s">
        <v>105</v>
      </c>
      <c r="B23" s="18" t="s">
        <v>842</v>
      </c>
      <c r="C23" s="17" t="s">
        <v>97</v>
      </c>
      <c r="D23" s="18" t="str">
        <f aca="false">INDEX('Hồ sơ'!$B$2:$B$101,MATCH(C23,'Hồ sơ'!$A$2:$A$101,0))</f>
        <v>Phạm Hồng Hằng</v>
      </c>
      <c r="E23" s="17" t="s">
        <v>402</v>
      </c>
      <c r="F23" s="18" t="str">
        <f aca="false">INDEX('Hồ sơ'!$B$2:$B$101,MATCH(E23,'Hồ sơ'!$A$2:$A$101,0))</f>
        <v>Trần Thanh Nga</v>
      </c>
      <c r="G23" s="18" t="s">
        <v>843</v>
      </c>
      <c r="H23" s="19" t="s">
        <v>844</v>
      </c>
      <c r="I23" s="18" t="s">
        <v>833</v>
      </c>
    </row>
    <row r="24" customFormat="false" ht="15" hidden="false" customHeight="false" outlineLevel="0" collapsed="false">
      <c r="A24" s="17" t="s">
        <v>316</v>
      </c>
      <c r="B24" s="18" t="s">
        <v>845</v>
      </c>
      <c r="C24" s="17" t="s">
        <v>539</v>
      </c>
      <c r="D24" s="18" t="str">
        <f aca="false">INDEX('Hồ sơ'!$B$2:$B$101,MATCH(C24,'Hồ sơ'!$A$2:$A$101,0))</f>
        <v>Võ Phương Nga</v>
      </c>
      <c r="E24" s="17" t="s">
        <v>311</v>
      </c>
      <c r="F24" s="18" t="str">
        <f aca="false">INDEX('Hồ sơ'!$B$2:$B$101,MATCH(E24,'Hồ sơ'!$A$2:$A$101,0))</f>
        <v>Nguyễn Phương Anh</v>
      </c>
      <c r="G24" s="18" t="s">
        <v>846</v>
      </c>
      <c r="H24" s="19" t="s">
        <v>847</v>
      </c>
      <c r="I24" s="18" t="s">
        <v>833</v>
      </c>
    </row>
    <row r="25" customFormat="false" ht="23.85" hidden="false" customHeight="false" outlineLevel="0" collapsed="false">
      <c r="A25" s="17" t="s">
        <v>193</v>
      </c>
      <c r="B25" s="18" t="s">
        <v>848</v>
      </c>
      <c r="C25" s="17" t="s">
        <v>187</v>
      </c>
      <c r="D25" s="18" t="str">
        <f aca="false">INDEX('Hồ sơ'!$B$2:$B$101,MATCH(C25,'Hồ sơ'!$A$2:$A$101,0))</f>
        <v>Mai Minh Quân</v>
      </c>
      <c r="E25" s="17" t="s">
        <v>297</v>
      </c>
      <c r="F25" s="18" t="str">
        <f aca="false">INDEX('Hồ sơ'!$B$2:$B$101,MATCH(E25,'Hồ sơ'!$A$2:$A$101,0))</f>
        <v>Cao Xuân Dương</v>
      </c>
      <c r="G25" s="18" t="s">
        <v>849</v>
      </c>
      <c r="H25" s="19" t="s">
        <v>850</v>
      </c>
      <c r="I25" s="18" t="s">
        <v>851</v>
      </c>
    </row>
    <row r="26" customFormat="false" ht="23.85" hidden="false" customHeight="false" outlineLevel="0" collapsed="false">
      <c r="A26" s="17" t="s">
        <v>286</v>
      </c>
      <c r="B26" s="18" t="s">
        <v>852</v>
      </c>
      <c r="C26" s="17" t="s">
        <v>280</v>
      </c>
      <c r="D26" s="18" t="str">
        <f aca="false">INDEX('Hồ sơ'!$B$2:$B$101,MATCH(C26,'Hồ sơ'!$A$2:$A$101,0))</f>
        <v>Kiều Quang Tiến</v>
      </c>
      <c r="E26" s="17" t="s">
        <v>645</v>
      </c>
      <c r="F26" s="18" t="str">
        <f aca="false">INDEX('Hồ sơ'!$B$2:$B$101,MATCH(E26,'Hồ sơ'!$A$2:$A$101,0))</f>
        <v>Bùi Anh Thắng</v>
      </c>
      <c r="G26" s="18" t="s">
        <v>853</v>
      </c>
      <c r="H26" s="19" t="s">
        <v>854</v>
      </c>
      <c r="I26" s="18" t="s">
        <v>855</v>
      </c>
    </row>
    <row r="27" customFormat="false" ht="23.85" hidden="false" customHeight="false" outlineLevel="0" collapsed="false">
      <c r="A27" s="17" t="s">
        <v>243</v>
      </c>
      <c r="B27" s="18" t="s">
        <v>856</v>
      </c>
      <c r="C27" s="17" t="s">
        <v>717</v>
      </c>
      <c r="D27" s="18" t="str">
        <f aca="false">INDEX('Hồ sơ'!$B$2:$B$101,MATCH(C27,'Hồ sơ'!$A$2:$A$101,0))</f>
        <v>Kiều Anh Phúc</v>
      </c>
      <c r="E27" s="17" t="s">
        <v>238</v>
      </c>
      <c r="F27" s="18" t="str">
        <f aca="false">INDEX('Hồ sơ'!$B$2:$B$101,MATCH(E27,'Hồ sơ'!$A$2:$A$101,0))</f>
        <v>Đinh Gia Bảo</v>
      </c>
      <c r="G27" s="18" t="s">
        <v>857</v>
      </c>
      <c r="H27" s="19" t="s">
        <v>858</v>
      </c>
      <c r="I27" s="18" t="s">
        <v>859</v>
      </c>
    </row>
    <row r="28" customFormat="false" ht="35.05" hidden="false" customHeight="false" outlineLevel="0" collapsed="false">
      <c r="A28" s="17" t="s">
        <v>426</v>
      </c>
      <c r="B28" s="18" t="s">
        <v>860</v>
      </c>
      <c r="C28" s="17" t="s">
        <v>588</v>
      </c>
      <c r="D28" s="18" t="str">
        <f aca="false">INDEX('Hồ sơ'!$B$2:$B$101,MATCH(C28,'Hồ sơ'!$A$2:$A$101,0))</f>
        <v>Trần Việt Long</v>
      </c>
      <c r="E28" s="17" t="s">
        <v>421</v>
      </c>
      <c r="F28" s="18" t="str">
        <f aca="false">INDEX('Hồ sơ'!$B$2:$B$101,MATCH(E28,'Hồ sơ'!$A$2:$A$101,0))</f>
        <v>Nguyễn Hữu Long</v>
      </c>
      <c r="G28" s="18" t="s">
        <v>861</v>
      </c>
      <c r="H28" s="21" t="s">
        <v>862</v>
      </c>
      <c r="I28" s="18" t="s">
        <v>863</v>
      </c>
    </row>
    <row r="29" customFormat="false" ht="23.85" hidden="false" customHeight="false" outlineLevel="0" collapsed="false">
      <c r="A29" s="17" t="s">
        <v>574</v>
      </c>
      <c r="B29" s="18" t="s">
        <v>864</v>
      </c>
      <c r="C29" s="17" t="s">
        <v>569</v>
      </c>
      <c r="D29" s="18" t="str">
        <f aca="false">INDEX('Hồ sơ'!$B$2:$B$101,MATCH(C29,'Hồ sơ'!$A$2:$A$101,0))</f>
        <v>Trịnh Ngọc Giang</v>
      </c>
      <c r="E29" s="17" t="s">
        <v>711</v>
      </c>
      <c r="F29" s="18" t="str">
        <f aca="false">INDEX('Hồ sơ'!$B$2:$B$101,MATCH(E29,'Hồ sơ'!$A$2:$A$101,0))</f>
        <v>Tạ Minh Thủy</v>
      </c>
      <c r="G29" s="18" t="s">
        <v>865</v>
      </c>
      <c r="H29" s="19" t="s">
        <v>866</v>
      </c>
      <c r="I29" s="18" t="s">
        <v>867</v>
      </c>
    </row>
  </sheetData>
  <autoFilter ref="A1:I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90"/>
  </cols>
  <sheetData>
    <row r="1" customFormat="false" ht="15" hidden="false" customHeight="false" outlineLevel="0" collapsed="false">
      <c r="A1" s="22" t="s">
        <v>868</v>
      </c>
    </row>
    <row r="3" customFormat="false" ht="15" hidden="false" customHeight="false" outlineLevel="0" collapsed="false">
      <c r="A3" s="23" t="s">
        <v>869</v>
      </c>
      <c r="B3" s="24" t="n">
        <v>46299</v>
      </c>
      <c r="C3" s="23" t="s">
        <v>870</v>
      </c>
    </row>
    <row r="5" customFormat="false" ht="15" hidden="false" customHeight="false" outlineLevel="0" collapsed="false">
      <c r="A5" s="22" t="s">
        <v>871</v>
      </c>
    </row>
    <row r="6" customFormat="false" ht="15" hidden="false" customHeight="false" outlineLevel="0" collapsed="false">
      <c r="A6" s="23" t="s">
        <v>872</v>
      </c>
      <c r="B6" s="23" t="n">
        <f aca="false">COUNTA('Hồ sơ'!A2:A101)</f>
        <v>100</v>
      </c>
    </row>
    <row r="7" customFormat="false" ht="15" hidden="false" customHeight="false" outlineLevel="0" collapsed="false">
      <c r="A7" s="23" t="s">
        <v>78</v>
      </c>
      <c r="B7" s="23" t="n">
        <f aca="false">COUNTIF('Hồ sơ'!C2:C101,"Nam")</f>
        <v>50</v>
      </c>
    </row>
    <row r="8" customFormat="false" ht="15" hidden="false" customHeight="false" outlineLevel="0" collapsed="false">
      <c r="A8" s="23" t="s">
        <v>50</v>
      </c>
      <c r="B8" s="23" t="n">
        <f aca="false">COUNTIF('Hồ sơ'!C2:C101,"Nữ")</f>
        <v>50</v>
      </c>
    </row>
    <row r="9" customFormat="false" ht="15" hidden="false" customHeight="false" outlineLevel="0" collapsed="false">
      <c r="A9" s="23" t="s">
        <v>873</v>
      </c>
      <c r="B9" s="23" t="n">
        <f aca="false">COUNTIF('Hồ sơ'!F2:F101,"Sinh viên*")</f>
        <v>24</v>
      </c>
    </row>
    <row r="10" customFormat="false" ht="15" hidden="false" customHeight="false" outlineLevel="0" collapsed="false">
      <c r="A10" s="23" t="s">
        <v>874</v>
      </c>
      <c r="B10" s="23" t="n">
        <f aca="false">COUNTIF('Hồ sơ'!AT2:AT101,"Test đặc biệt")</f>
        <v>56</v>
      </c>
    </row>
    <row r="11" customFormat="false" ht="15" hidden="false" customHeight="false" outlineLevel="0" collapsed="false">
      <c r="A11" s="23" t="s">
        <v>875</v>
      </c>
      <c r="B11" s="23" t="n">
        <f aca="false">COUNTIF('Hồ sơ'!AT2:AT101,"Ngẫu nhiên – thiếu dữ liệu")</f>
        <v>6</v>
      </c>
    </row>
    <row r="12" customFormat="false" ht="15" hidden="false" customHeight="false" outlineLevel="0" collapsed="false">
      <c r="A12" s="23" t="s">
        <v>876</v>
      </c>
      <c r="B12" s="23" t="n">
        <f aca="false">COUNTA('Cặp test đặc biệt'!A2:A29)</f>
        <v>28</v>
      </c>
    </row>
    <row r="14" customFormat="false" ht="15" hidden="false" customHeight="false" outlineLevel="0" collapsed="false">
      <c r="A14" s="22" t="s">
        <v>877</v>
      </c>
    </row>
    <row r="15" customFormat="false" ht="30" hidden="false" customHeight="true" outlineLevel="0" collapsed="false">
      <c r="A15" s="23" t="s">
        <v>878</v>
      </c>
      <c r="B15" s="25" t="s">
        <v>879</v>
      </c>
      <c r="C15" s="25"/>
    </row>
    <row r="16" customFormat="false" ht="30" hidden="false" customHeight="true" outlineLevel="0" collapsed="false">
      <c r="A16" s="23" t="s">
        <v>880</v>
      </c>
      <c r="B16" s="25" t="s">
        <v>881</v>
      </c>
      <c r="C16" s="25"/>
    </row>
    <row r="17" customFormat="false" ht="30" hidden="false" customHeight="true" outlineLevel="0" collapsed="false">
      <c r="A17" s="23" t="s">
        <v>882</v>
      </c>
      <c r="B17" s="25" t="s">
        <v>883</v>
      </c>
      <c r="C17" s="25"/>
    </row>
    <row r="18" customFormat="false" ht="30" hidden="false" customHeight="true" outlineLevel="0" collapsed="false">
      <c r="A18" s="23" t="s">
        <v>884</v>
      </c>
      <c r="B18" s="25" t="s">
        <v>885</v>
      </c>
      <c r="C18" s="25"/>
    </row>
    <row r="19" customFormat="false" ht="30" hidden="false" customHeight="true" outlineLevel="0" collapsed="false">
      <c r="A19" s="23" t="s">
        <v>886</v>
      </c>
      <c r="B19" s="25" t="s">
        <v>887</v>
      </c>
      <c r="C19" s="25"/>
    </row>
    <row r="20" customFormat="false" ht="30" hidden="false" customHeight="true" outlineLevel="0" collapsed="false">
      <c r="A20" s="23" t="s">
        <v>888</v>
      </c>
      <c r="B20" s="25" t="s">
        <v>889</v>
      </c>
      <c r="C20" s="25"/>
    </row>
    <row r="21" customFormat="false" ht="30" hidden="false" customHeight="true" outlineLevel="0" collapsed="false">
      <c r="A21" s="23" t="s">
        <v>890</v>
      </c>
      <c r="B21" s="25" t="s">
        <v>891</v>
      </c>
      <c r="C21" s="25"/>
    </row>
    <row r="23" customFormat="false" ht="15" hidden="false" customHeight="false" outlineLevel="0" collapsed="false">
      <c r="A23" s="22" t="s">
        <v>892</v>
      </c>
    </row>
    <row r="24" customFormat="false" ht="15" hidden="false" customHeight="false" outlineLevel="0" collapsed="false">
      <c r="A24" s="26" t="s">
        <v>893</v>
      </c>
    </row>
    <row r="25" customFormat="false" ht="15" hidden="false" customHeight="false" outlineLevel="0" collapsed="false">
      <c r="A25" s="27" t="s">
        <v>894</v>
      </c>
    </row>
    <row r="26" customFormat="false" ht="15" hidden="false" customHeight="false" outlineLevel="0" collapsed="false">
      <c r="A26" s="28" t="s">
        <v>895</v>
      </c>
    </row>
    <row r="27" customFormat="false" ht="15" hidden="false" customHeight="false" outlineLevel="0" collapsed="false">
      <c r="A27" s="29" t="s">
        <v>896</v>
      </c>
    </row>
    <row r="28" customFormat="false" ht="15" hidden="false" customHeight="false" outlineLevel="0" collapsed="false">
      <c r="A28" s="30" t="s">
        <v>897</v>
      </c>
    </row>
    <row r="29" customFormat="false" ht="15" hidden="false" customHeight="false" outlineLevel="0" collapsed="false">
      <c r="A29" s="31" t="s">
        <v>898</v>
      </c>
    </row>
    <row r="31" customFormat="false" ht="15" hidden="false" customHeight="false" outlineLevel="0" collapsed="false">
      <c r="A31" s="22" t="s">
        <v>899</v>
      </c>
    </row>
    <row r="32" customFormat="false" ht="15" hidden="false" customHeight="false" outlineLevel="0" collapsed="false">
      <c r="A32" s="26" t="s">
        <v>900</v>
      </c>
      <c r="B32" s="26" t="s">
        <v>901</v>
      </c>
      <c r="C32" s="26" t="s">
        <v>902</v>
      </c>
    </row>
    <row r="33" customFormat="false" ht="15" hidden="false" customHeight="false" outlineLevel="0" collapsed="false">
      <c r="A33" s="23" t="s">
        <v>903</v>
      </c>
      <c r="B33" s="23" t="s">
        <v>904</v>
      </c>
      <c r="C33" s="32" t="s">
        <v>905</v>
      </c>
    </row>
    <row r="34" customFormat="false" ht="15" hidden="false" customHeight="false" outlineLevel="0" collapsed="false">
      <c r="A34" s="23" t="s">
        <v>906</v>
      </c>
      <c r="B34" s="23" t="s">
        <v>904</v>
      </c>
      <c r="C34" s="32" t="s">
        <v>907</v>
      </c>
    </row>
    <row r="35" customFormat="false" ht="15" hidden="false" customHeight="false" outlineLevel="0" collapsed="false">
      <c r="A35" s="23" t="s">
        <v>908</v>
      </c>
      <c r="B35" s="23" t="s">
        <v>904</v>
      </c>
      <c r="C35" s="32" t="s">
        <v>909</v>
      </c>
    </row>
    <row r="36" customFormat="false" ht="15" hidden="false" customHeight="false" outlineLevel="0" collapsed="false">
      <c r="A36" s="23" t="s">
        <v>910</v>
      </c>
      <c r="B36" s="23" t="s">
        <v>904</v>
      </c>
      <c r="C36" s="32" t="s">
        <v>911</v>
      </c>
    </row>
    <row r="37" customFormat="false" ht="15" hidden="false" customHeight="false" outlineLevel="0" collapsed="false">
      <c r="A37" s="23" t="s">
        <v>912</v>
      </c>
      <c r="B37" s="23" t="s">
        <v>913</v>
      </c>
      <c r="C37" s="32" t="s">
        <v>914</v>
      </c>
    </row>
    <row r="38" customFormat="false" ht="15" hidden="false" customHeight="false" outlineLevel="0" collapsed="false">
      <c r="A38" s="23" t="s">
        <v>915</v>
      </c>
      <c r="B38" s="23" t="s">
        <v>904</v>
      </c>
      <c r="C38" s="32" t="s">
        <v>916</v>
      </c>
    </row>
    <row r="39" customFormat="false" ht="15" hidden="false" customHeight="false" outlineLevel="0" collapsed="false">
      <c r="A39" s="23" t="s">
        <v>917</v>
      </c>
      <c r="B39" s="23" t="s">
        <v>913</v>
      </c>
      <c r="C39" s="32" t="s">
        <v>918</v>
      </c>
    </row>
    <row r="40" customFormat="false" ht="15" hidden="false" customHeight="false" outlineLevel="0" collapsed="false">
      <c r="A40" s="23" t="s">
        <v>919</v>
      </c>
      <c r="B40" s="23" t="s">
        <v>913</v>
      </c>
      <c r="C40" s="32" t="s">
        <v>920</v>
      </c>
    </row>
    <row r="41" customFormat="false" ht="15" hidden="false" customHeight="false" outlineLevel="0" collapsed="false">
      <c r="A41" s="23" t="s">
        <v>921</v>
      </c>
      <c r="B41" s="23" t="s">
        <v>904</v>
      </c>
      <c r="C41" s="32" t="s">
        <v>922</v>
      </c>
    </row>
    <row r="42" customFormat="false" ht="15" hidden="false" customHeight="false" outlineLevel="0" collapsed="false">
      <c r="A42" s="23" t="s">
        <v>923</v>
      </c>
      <c r="B42" s="23" t="s">
        <v>904</v>
      </c>
      <c r="C42" s="32" t="s">
        <v>924</v>
      </c>
    </row>
    <row r="43" customFormat="false" ht="15" hidden="false" customHeight="false" outlineLevel="0" collapsed="false">
      <c r="A43" s="23" t="s">
        <v>925</v>
      </c>
      <c r="B43" s="23" t="s">
        <v>904</v>
      </c>
      <c r="C43" s="32" t="s">
        <v>926</v>
      </c>
    </row>
    <row r="44" customFormat="false" ht="15" hidden="false" customHeight="false" outlineLevel="0" collapsed="false">
      <c r="A44" s="23" t="s">
        <v>927</v>
      </c>
      <c r="B44" s="23" t="s">
        <v>913</v>
      </c>
      <c r="C44" s="32" t="s">
        <v>928</v>
      </c>
    </row>
    <row r="45" customFormat="false" ht="15" hidden="false" customHeight="false" outlineLevel="0" collapsed="false">
      <c r="A45" s="23" t="s">
        <v>929</v>
      </c>
      <c r="B45" s="23" t="s">
        <v>913</v>
      </c>
      <c r="C45" s="32" t="s">
        <v>930</v>
      </c>
    </row>
    <row r="46" customFormat="false" ht="15" hidden="false" customHeight="false" outlineLevel="0" collapsed="false">
      <c r="A46" s="23" t="s">
        <v>931</v>
      </c>
      <c r="B46" s="23" t="s">
        <v>913</v>
      </c>
      <c r="C46" s="32" t="s">
        <v>932</v>
      </c>
    </row>
    <row r="47" customFormat="false" ht="23.85" hidden="false" customHeight="false" outlineLevel="0" collapsed="false">
      <c r="A47" s="23" t="s">
        <v>933</v>
      </c>
      <c r="B47" s="23" t="s">
        <v>904</v>
      </c>
      <c r="C47" s="32" t="s">
        <v>934</v>
      </c>
    </row>
    <row r="48" customFormat="false" ht="15" hidden="false" customHeight="false" outlineLevel="0" collapsed="false">
      <c r="A48" s="23" t="s">
        <v>935</v>
      </c>
      <c r="B48" s="23" t="s">
        <v>913</v>
      </c>
      <c r="C48" s="32" t="s">
        <v>936</v>
      </c>
    </row>
  </sheetData>
  <mergeCells count="7">
    <mergeCell ref="B15:C15"/>
    <mergeCell ref="B16:C16"/>
    <mergeCell ref="B17:C17"/>
    <mergeCell ref="B18:C18"/>
    <mergeCell ref="B19:C19"/>
    <mergeCell ref="B20:C20"/>
    <mergeCell ref="B21:C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2026-10-03T17:57:22Z</dcterms:created>
  <dc:creator>openpyxl</dc:creator>
  <dc:description/>
  <dc:language>en-US</dc:language>
  <cp:lastModifiedBy/>
  <dcterms:modified xsi:type="dcterms:W3CDTF">2026-10-03T17:57:22Z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